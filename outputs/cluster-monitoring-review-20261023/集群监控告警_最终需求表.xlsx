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ac5fc0d2804c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项目概览" sheetId="1" r:id="Rf005549f38944591"/>
    <x:sheet xmlns:r="http://schemas.openxmlformats.org/officeDocument/2006/relationships" name="需求总表" sheetId="2" r:id="R2c450568cbc54c93"/>
    <x:sheet xmlns:r="http://schemas.openxmlformats.org/officeDocument/2006/relationships" name="指标口径与验收说明" sheetId="3" r:id="R469ca234fdd44984"/>
    <x:sheet xmlns:r="http://schemas.openxmlformats.org/officeDocument/2006/relationships" name="多云兼容验收矩阵" sheetId="4" r:id="R83085be5f5a34085"/>
  </x:sheets>
</x:workbook>
</file>

<file path=xl/sharedStrings.xml><?xml version="1.0" encoding="utf-8"?>
<x:sst xmlns:x="http://schemas.openxmlformats.org/spreadsheetml/2006/main">
  <x:si>
    <x:t xml:space="preserve">项目指标</x:t>
  </x:si>
  <x:si>
    <x:t xml:space="preserve">P0 必须</x:t>
  </x:si>
  <x:si>
    <x:t xml:space="preserve">P1 重要</x:t>
  </x:si>
  <x:si>
    <x:t xml:space="preserve">P2 优化</x:t>
  </x:si>
  <x:si>
    <x:t xml:space="preserve">阶段</x:t>
  </x:si>
  <x:si>
    <x:t xml:space="preserve">目标</x:t>
  </x:si>
  <x:si>
    <x:t xml:space="preserve">需求数</x:t>
  </x:si>
  <x:si>
    <x:t xml:space="preserve">交付准入</x:t>
  </x:si>
  <x:si>
    <x:t xml:space="preserve">Phase 1</x:t>
  </x:si>
  <x:si>
    <x:t xml:space="preserve">指标采集、正确性和安全性</x:t>
  </x:si>
  <x:si>
    <x:t xml:space="preserve">采集链路与 P0 核心指标通过</x:t>
  </x:si>
  <x:si>
    <x:t xml:space="preserve">Phase 2</x:t>
  </x:si>
  <x:si>
    <x:t xml:space="preserve">监控页面、曲线、历史与容量</x:t>
  </x:si>
  <x:si>
    <x:t xml:space="preserve">UI 及历史查询可复验</x:t>
  </x:si>
  <x:si>
    <x:t xml:space="preserve">Phase 3</x:t>
  </x:si>
  <x:si>
    <x:t xml:space="preserve">告警规则、状态与邮件/Webhook</x:t>
  </x:si>
  <x:si>
    <x:t xml:space="preserve">触发/去重/恢复/重试通过</x:t>
  </x:si>
  <x:si>
    <x:t xml:space="preserve">Phase 4</x:t>
  </x:si>
  <x:si>
    <x:t xml:space="preserve">单实例 / K8s 验收与发布</x:t>
  </x:si>
  <x:si>
    <x:t xml:space="preserve">全部 P0 为“验收通过”</x:t>
  </x:si>
  <x:si>
    <x:t xml:space="preserve">交付与发布门槛</x:t>
  </x:si>
  <x:si>
    <x:t xml:space="preserve">01   P0 全部通过后，才允许将生产流量切到任意受支持的 K8s 多 Pod；P1 为正式交付目标，P2 排入优化迭代。</x:t>
  </x:si>
  <x:si>
    <x:t xml:space="preserve">02   必须验证 Docker Compose 单实例及至少两类独立 K8s 环境（建议一个托管集群 + 一个自建集群）；兼容普通 Linux 单实例，保留 Redis / PostgreSQL 原 Ops 能力。</x:t>
  </x:si>
  <x:si>
    <x:t xml:space="preserve">03   基础监控仅依赖 Prometheus 兼容协议及 Kubernetes 标准指标，不得强制依赖阿里云 SDK/API；Pod Limit、Svc 请求统计与结算指标不得混算。</x:t>
  </x:si>
  <x:si>
    <x:t xml:space="preserve">04   监控自身故障和样本不足不能被当成正常值；关键告警需跨 Pod 去重、具备持久化状态与通知审计。</x:t>
  </x:si>
  <x:si>
    <x:t xml:space="preserve">MODURELAY   /   集群监控与告警 · 最终开发需求总表</x:t>
  </x:si>
  <x:si>
    <x:t xml:space="preserve">需求编号</x:t>
  </x:si>
  <x:si>
    <x:t xml:space="preserve">优先级</x:t>
  </x:si>
  <x:si>
    <x:t xml:space="preserve">功能域</x:t>
  </x:si>
  <x:si>
    <x:t xml:space="preserve">需求名称</x:t>
  </x:si>
  <x:si>
    <x:t xml:space="preserve">具体开发内容</x:t>
  </x:si>
  <x:si>
    <x:t xml:space="preserve">验收标准</x:t>
  </x:si>
  <x:si>
    <x:t xml:space="preserve">开发阶段</x:t>
  </x:si>
  <x:si>
    <x:t xml:space="preserve">负责人</x:t>
  </x:si>
  <x:si>
    <x:t xml:space="preserve">MON-01</x:t>
  </x:si>
  <x:si>
    <x:t xml:space="preserve">P0</x:t>
  </x:si>
  <x:si>
    <x:t xml:space="preserve">部署兼容</x:t>
  </x:si>
  <x:si>
    <x:t xml:space="preserve">单实例 / 集群统一监控</x:t>
  </x:si>
  <x:si>
    <x:t xml:space="preserve">统一 Ops / Cluster Monitoring API，按能力识别 standalone / kubernetes 数据源；K8s 采用标准 Metrics + Prometheus 兼容协议；厂商专有监控仅作为可选插件，不依赖阿里云 SDK。</x:t>
  </x:si>
  <x:si>
    <x:t xml:space="preserve">Docker Compose、普通 Linux 单实例可使用现有 Ops；至少两种独立 K8s 环境的单 Pod/≥3 Pod 监控通过；无 Kubernetes 时 Pod/Svc 专有指标显示 N/A；旧页面/API 零回归。</x:t>
  </x:si>
  <x:si>
    <x:t xml:space="preserve">Docker Compose + Linux 单实例回归；两种 K8s 环境（如 ACK + 自建或 TKE）交叉测试；断开可选云厂商监控 API 验证降级。</x:t>
  </x:si>
  <x:si>
    <x:t xml:space="preserve">MON-02</x:t>
  </x:si>
  <x:si>
    <x:t xml:space="preserve">Pod 资源</x:t>
  </x:si>
  <x:si>
    <x:t xml:space="preserve">Pod CPU 使用量、Limit 与百分比</x:t>
  </x:si>
  <x:si>
    <x:t xml:space="preserve">通过 kubelet/cAdvisor 与 kube-state-metrics 或等效标准指标获取每容器 CPU 用量、Kubernetes 生效 resources.limits；Pod 汇总及历史 Limit，不调用特定云厂商资源 API。</x:t>
  </x:si>
  <x:si>
    <x:t xml:space="preserve">Pod CPU mCPU/核数、实际 Limit、%与曲线正确；Limit 变更保留历史口径；无 Limit 显示 N/A</x:t>
  </x:si>
  <x:si>
    <x:t xml:space="preserve">不同 Kubernetes 发行版的 kubelet/kube-state-metrics 对账；变更 Limit、无 Limit、Pod 重建回归。</x:t>
  </x:si>
  <x:si>
    <x:t xml:space="preserve">MON-03</x:t>
  </x:si>
  <x:si>
    <x:t xml:space="preserve">Pod 内存使用量、Limit 与百分比</x:t>
  </x:si>
  <x:si>
    <x:t xml:space="preserve">通过 Kubernetes 标准采集链路获取 working set 内存与实际生效 Limit；保存历史样本，云托管和自建 K8s 使用同一计算口径。</x:t>
  </x:si>
  <x:si>
    <x:t xml:space="preserve">展示每 Pod MiB/GiB、Limit、%及趋势；多容器口径一致；无 Limit 不计算百分比</x:t>
  </x:si>
  <x:si>
    <x:t xml:space="preserve">托管 K8s + 自建 K8s 下固定负载校验；Pod OOM、Limit 调整与滚动升级回归。</x:t>
  </x:si>
  <x:si>
    <x:t xml:space="preserve">MON-04</x:t>
  </x:si>
  <x:si>
    <x:t xml:space="preserve">Service 性能</x:t>
  </x:si>
  <x:si>
    <x:t xml:space="preserve">Service QPS / RPM</x:t>
  </x:si>
  <x:si>
    <x:t xml:space="preserve">新增 Service 维度 Counter 聚合；区分入口、应用和完成请求</x:t>
  </x:si>
  <x:si>
    <x:t xml:space="preserve">每个 Service 显示 QPS、最近 60s RPM 和历史趋势；多 Pod 结果不重复求和；与基准流量误差可解释</x:t>
  </x:si>
  <x:si>
    <x:t xml:space="preserve">固定流量脚本、PromQL 对账；分别在两类 Kubernetes 环境验证多 Pod 扩缩容。</x:t>
  </x:si>
  <x:si>
    <x:t xml:space="preserve">MON-05</x:t>
  </x:si>
  <x:si>
    <x:t xml:space="preserve">Service P95 / P99 与 TTFT</x:t>
  </x:si>
  <x:si>
    <x:t xml:space="preserve">新增请求耗时/首输出耗时 Histogram，按 Service、协议、路由维度可控聚合</x:t>
  </x:si>
  <x:si>
    <x:t xml:space="preserve">P95/P99 与基准 Histogram 结果一致；SSE 完整耗时与 TTFT 分开；历史图及低样本说明</x:t>
  </x:si>
  <x:si>
    <x:t xml:space="preserve">非流式+SSE 混合负载；分位数聚合对账</x:t>
  </x:si>
  <x:si>
    <x:t xml:space="preserve">MON-06</x:t>
  </x:si>
  <x:si>
    <x:t xml:space="preserve">HTTP 错误</x:t>
  </x:si>
  <x:si>
    <x:t xml:space="preserve">4xx / 5xx 数量、错误率</x:t>
  </x:si>
  <x:si>
    <x:t xml:space="preserve">独立状态码 Counter，按 1/5/15/60 分钟和 Service、Pod、入口/应用来源查询</x:t>
  </x:si>
  <x:si>
    <x:t xml:space="preserve">4xx/5xx 次数、错误率正确；429 独立；Ingress/网关/负载均衡产生的 502/504 不与应用层 5xx 重复累计。</x:t>
  </x:si>
  <x:si>
    <x:t xml:space="preserve">注入 400/401/429/500/502/504；与通用 Ingress/入口代理指标及应用日志对账。</x:t>
  </x:si>
  <x:si>
    <x:t xml:space="preserve">MON-07</x:t>
  </x:si>
  <x:si>
    <x:t xml:space="preserve">指标采集</x:t>
  </x:si>
  <x:si>
    <x:t xml:space="preserve">HTTP Counter / Histogram 采集</x:t>
  </x:si>
  <x:si>
    <x:t xml:space="preserve">新增实例级 req_total、duration_bucket、ttft_bucket，低基数标签，排除内部探针</x:t>
  </x:si>
  <x:si>
    <x:t xml:space="preserve">Counter 单调、Histogram bucket 正确；/metrics/instance 可抓取；无用户 ID/请求 ID 高基数标签</x:t>
  </x:si>
  <x:si>
    <x:t xml:space="preserve">Prometheus scrape、Pod 重启指标连续性与 label 审核</x:t>
  </x:si>
  <x:si>
    <x:t xml:space="preserve">MON-11</x:t>
  </x:si>
  <x:si>
    <x:t xml:space="preserve">遗留兼容</x:t>
  </x:si>
  <x:si>
    <x:t xml:space="preserve">保留 PostgreSQL / Redis 监控</x:t>
  </x:si>
  <x:si>
    <x:t xml:space="preserve">完整保留原 Ops 页面、健康状态、连接池和历史查询；支持标准 PostgreSQL / Redis（含兼容代理模式），托管云实例专有指标通过可选 Adapter 接入。</x:t>
  </x:si>
  <x:si>
    <x:t xml:space="preserve">原有 PostgreSQL/Redis UI、API、告警在 Docker 和任意受支持的 K8s 中正常；标准自建 PG/Redis 无云厂商 API 也能监控；应用池与实例容量分开标注。</x:t>
  </x:si>
  <x:si>
    <x:t xml:space="preserve">原版本回归；标准自建 PG/Redis 与至少一种托管云数据库交叉验证；禁用云专有指标仍可查看核心数据。</x:t>
  </x:si>
  <x:si>
    <x:t xml:space="preserve">MON-15</x:t>
  </x:si>
  <x:si>
    <x:t xml:space="preserve">财务可观测性</x:t>
  </x:si>
  <x:si>
    <x:t xml:space="preserve">计费一致性监控与告警</x:t>
  </x:si>
  <x:si>
    <x:t xml:space="preserve">监控事务结算证据、Usage Log 缺失、后台补偿积压、失败结算和账务对账差异</x:t>
  </x:si>
  <x:si>
    <x:t xml:space="preserve">异常落盘且能定位 request_id/settlement_id；账务差额报警；观察链路不影响计费并且不显示用户密钥</x:t>
  </x:si>
  <x:si>
    <x:t xml:space="preserve">注入提交后中断、重复请求、Redis 异常、补偿失败、账户核对</x:t>
  </x:si>
  <x:si>
    <x:t xml:space="preserve">MON-16</x:t>
  </x:si>
  <x:si>
    <x:t xml:space="preserve">监控可靠性</x:t>
  </x:si>
  <x:si>
    <x:t xml:space="preserve">监控系统自身健康告警</x:t>
  </x:si>
  <x:si>
    <x:t xml:space="preserve">监控 Prometheus 兼容数据源的 scrape 失败、时序源不可用、Pod/实例心跳过期及规则评估停止；跨云无数据一致展示 Unknown。</x:t>
  </x:si>
  <x:si>
    <x:t xml:space="preserve">监控源连续 2 分钟不可用触发告警；数据缺失显示 Unknown 而非 0；单机或任何 K8s 不依赖特定云厂商通知服务。</x:t>
  </x:si>
  <x:si>
    <x:t xml:space="preserve">停 Prometheus、断采集网络、关闭 Collector；演练独立健康检查</x:t>
  </x:si>
  <x:si>
    <x:t xml:space="preserve">ALT-01</x:t>
  </x:si>
  <x:si>
    <x:t xml:space="preserve">告警引擎</x:t>
  </x:si>
  <x:si>
    <x:t xml:space="preserve">完整自定义告警规则</x:t>
  </x:si>
  <x:si>
    <x:t xml:space="preserve">规则支持 cluster/namespace/service/pod 资源选择、指标、运算符、窗口、持续时间、冷却、通知目标</x:t>
  </x:si>
  <x:si>
    <x:t xml:space="preserve">管理端可新增修改停用删除规则；支持多资源实例分别评估；服务端校验拒绝非法值</x:t>
  </x:si>
  <x:si>
    <x:t xml:space="preserve">规则 API/UI 单测；多资源规则触发与隔离测试</x:t>
  </x:si>
  <x:si>
    <x:t xml:space="preserve">ALT-02</x:t>
  </x:si>
  <x:si>
    <x:t xml:space="preserve">延迟告警</x:t>
  </x:si>
  <x:si>
    <x:t xml:space="preserve">P95 / P99 延迟告警</x:t>
  </x:si>
  <x:si>
    <x:t xml:space="preserve">将 Service P95、P99、TTFT P95/P99 纳入指标白名单、服务端评估和 UI 编辑器</x:t>
  </x:si>
  <x:si>
    <x:t xml:space="preserve">各延迟指标均可选可保存；超过阈值持续指定时间触发；恢复后状态闭合；低样本不误报</x:t>
  </x:si>
  <x:si>
    <x:t xml:space="preserve">注入确定的延迟分布、最低样本、触发/恢复全链路</x:t>
  </x:si>
  <x:si>
    <x:t xml:space="preserve">ALT-03</x:t>
  </x:si>
  <x:si>
    <x:t xml:space="preserve">告警精度</x:t>
  </x:si>
  <x:si>
    <x:t xml:space="preserve">最低请求量门槛</x:t>
  </x:si>
  <x:si>
    <x:t xml:space="preserve">为延迟/错误率规则提供 min_requests 及不足样本时数据状态</x:t>
  </x:si>
  <x:si>
    <x:t xml:space="preserve">低于请求数门槛不新触发、不误恢复；达到门槛时按阈值正确触发；缺失显示 InsufficientData</x:t>
  </x:si>
  <x:si>
    <x:t xml:space="preserve">1/5/60min 低/高流量回归、边界测试</x:t>
  </x:si>
  <x:si>
    <x:t xml:space="preserve">REL-01</x:t>
  </x:si>
  <x:si>
    <x:t xml:space="preserve">发布验收</x:t>
  </x:si>
  <x:si>
    <x:t xml:space="preserve">双模式完整核心验收</x:t>
  </x:si>
  <x:si>
    <x:t xml:space="preserve">涵盖 Docker Compose、普通 Linux 单实例、至少两种 K8s 环境（建议托管 + 自建）的单 Pod/≥3 Pod、扩缩容、故障、计费及指标兼容验证。</x:t>
  </x:si>
  <x:si>
    <x:t xml:space="preserve">14 项 P0 全部有自动化与实测证据；至少两个独立 K8s 环境通过关键指标、告警与故障演练；无特定云 SDK 强依赖；旧业务/计费无回归且可回滚。</x:t>
  </x:si>
  <x:si>
    <x:t xml:space="preserve">Docker 与 Linux 回归、两种 K8s 环境 PromQL/Limit 对账、故障注入、财务对账、CI、灰度及回滚证据。</x:t>
  </x:si>
  <x:si>
    <x:t xml:space="preserve">MON-08</x:t>
  </x:si>
  <x:si>
    <x:t xml:space="preserve">P1</x:t>
  </x:si>
  <x:si>
    <x:t xml:space="preserve">历史趋势</x:t>
  </x:si>
  <x:si>
    <x:t xml:space="preserve">全部核心指标历史折线图</x:t>
  </x:si>
  <x:si>
    <x:t xml:space="preserve">统一时间范围，折线图联动游标、筛选、阈值线、放大、对比、查询粒度</x:t>
  </x:si>
  <x:si>
    <x:t xml:space="preserve">支持 15m/1h/6h/24h/7d/30d/自定义；空档有断线，不把空数据当 0；曲线可定位来源</x:t>
  </x:si>
  <x:si>
    <x:t xml:space="preserve">长期指标查询、前端联动与大样本性能测试</x:t>
  </x:si>
  <x:si>
    <x:t xml:space="preserve">MON-09</x:t>
  </x:si>
  <x:si>
    <x:t xml:space="preserve">导航与钻取</x:t>
  </x:si>
  <x:si>
    <x:t xml:space="preserve">集群资源筛选及下钻</x:t>
  </x:si>
  <x:si>
    <x:t xml:space="preserve">Cluster → Namespace → Deployment / Service → Pod 切换；保持查询区间</x:t>
  </x:si>
  <x:si>
    <x:t xml:space="preserve">K8s 下按 Cluster/Namespace/Service/Deployment/Pod 下钻并验证权限；Docker/Linux 下无 Kubernetes 维度时降级为实例视图，不展示假 Pod。</x:t>
  </x:si>
  <x:si>
    <x:t xml:space="preserve">多 Namespace/Service、RBAC、分享链接回归</x:t>
  </x:si>
  <x:si>
    <x:t xml:space="preserve">MON-10</x:t>
  </x:si>
  <x:si>
    <x:t xml:space="preserve">Pod 生命周期</x:t>
  </x:si>
  <x:si>
    <x:t xml:space="preserve">Pod 存活、重启、OOM 历史</x:t>
  </x:si>
  <x:si>
    <x:t xml:space="preserve">接入 kube-state-metrics、容器终止原因、Pod UID，记录 OOM、CrashLoopBackOff 等</x:t>
  </x:si>
  <x:si>
    <x:t xml:space="preserve">Kubernetes 环境展示 Pod 状态、重启、OOM 及事件历史；重建不串数据；Docker/Linux 单实例切换为容器/进程状态，K8s 专有字段 N/A。</x:t>
  </x:si>
  <x:si>
    <x:t xml:space="preserve">强制 OOM、滚动更新、节点驱逐演练</x:t>
  </x:si>
  <x:si>
    <x:t xml:space="preserve">MON-12</x:t>
  </x:si>
  <x:si>
    <x:t xml:space="preserve">集中日志</x:t>
  </x:si>
  <x:si>
    <x:t xml:space="preserve">跨 Pod 集中日志及 Request ID</x:t>
  </x:si>
  <x:si>
    <x:t xml:space="preserve">支持 JSON stdout，经可选 Loki/ELK/OpenSearch/云日志平台集中采集；保留 request_id、instance、namespace/service/pod 标签（适用时），不绑定 SLS。</x:t>
  </x:si>
  <x:si>
    <x:t xml:space="preserve">任意实例日志可统一查询并通过 Request ID 关联；适配标准日志采集器；SLS、Loki 等可选，缺少集中式后端时明确标注能力受限。</x:t>
  </x:si>
  <x:si>
    <x:t xml:space="preserve">跨 Pod 追踪流式请求、Pod 删除后查询、敏感值扫描</x:t>
  </x:si>
  <x:si>
    <x:t xml:space="preserve">MON-13</x:t>
  </x:si>
  <x:si>
    <x:t xml:space="preserve">数据源集成</x:t>
  </x:si>
  <x:si>
    <x:t xml:space="preserve">Prometheus / Kubernetes 通用监控数据源</x:t>
  </x:si>
  <x:si>
    <x:t xml:space="preserve">提供 Prometheus 兼容 Query API Provider 与只读受限查询；支持标准 K8s Service/Pod 发现、ServiceMonitor/PodMonitor（可选）或普通 scrape；兼容托管/自建 Prometheus。</x:t>
  </x:si>
  <x:si>
    <x:t xml:space="preserve">ACK/TKE/EKS/GKE/AKS/自建 K8s 使用相同标准指标契约；至少两种独立 K8s 环境实测通过；无需厂商专属 API；单实例无 Prometheus 时平稳回退既有 Ops。</x:t>
  </x:si>
  <x:si>
    <x:t xml:space="preserve">分别在托管与自建 K8s 接通 15s scrape、Pod/Service/Histogram；Prometheus 替换或断连后验收兼容和降级。</x:t>
  </x:si>
  <x:si>
    <x:t xml:space="preserve">MON-14</x:t>
  </x:si>
  <x:si>
    <x:t xml:space="preserve">数据准确性</x:t>
  </x:si>
  <x:si>
    <x:t xml:space="preserve">指标聚合、去重及缺失口径</x:t>
  </x:si>
  <x:si>
    <x:t xml:space="preserve">区分 cluster Gauge 和实例 Counter，避免重复统计；维护时间对齐、标签白名单、缺失值</x:t>
  </x:si>
  <x:si>
    <x:t xml:space="preserve">同一 Service 多副本抓取不重算；数据缺失显示 Unknown；集群平均 CPU 使用限额加权口径并说明</x:t>
  </x:si>
  <x:si>
    <x:t xml:space="preserve">PromQL 与 Ops 数据对账、实例故障、重复 scrape 模拟</x:t>
  </x:si>
  <x:si>
    <x:t xml:space="preserve">MON-17</x:t>
  </x:si>
  <x:si>
    <x:t xml:space="preserve">弹性容量</x:t>
  </x:si>
  <x:si>
    <x:t xml:space="preserve">HPA 与集群容量监控</x:t>
  </x:si>
  <x:si>
    <x:t xml:space="preserve">仅 K8s 启用 HPA 与 desired/available/ready、扩缩容事件、CPU throttling、OOM 趋势；Docker/Linux 实例显示不适用，不阻断监控。</x:t>
  </x:si>
  <x:si>
    <x:t xml:space="preserve">清楚展示 HPA 目标与实际数量、Pending 和原因；超限及扩容未达标可告警</x:t>
  </x:si>
  <x:si>
    <x:t xml:space="preserve">触发 HPA 扩缩容、CPU 压力、节点容量不足演练</x:t>
  </x:si>
  <x:si>
    <x:t xml:space="preserve">MON-18</x:t>
  </x:si>
  <x:si>
    <x:t xml:space="preserve">数据库容量</x:t>
  </x:si>
  <x:si>
    <x:t xml:space="preserve">PostgreSQL / Redis 连接池与容量告警</x:t>
  </x:si>
  <x:si>
    <x:t xml:space="preserve">聚合每实例 PostgreSQL/Redis 连接池 active/idle/wait 与预算；云实例 max_connections 等通过标准查询、Exporter 或可选云监控适配器获取。</x:t>
  </x:si>
  <x:si>
    <x:t xml:space="preserve">PG/Redis 应用连接池与实例容量各自标注；自建或托管实例均可监控；云接口不可用时核心连接池曲线仍正常，并说明实例上限数据来源。</x:t>
  </x:si>
  <x:si>
    <x:t xml:space="preserve">连接池压力测试、数据库实例阈值核对</x:t>
  </x:si>
  <x:si>
    <x:t xml:space="preserve">MON-19</x:t>
  </x:si>
  <x:si>
    <x:t xml:space="preserve">时序留存</x:t>
  </x:si>
  <x:si>
    <x:t xml:space="preserve">监控历史保留与降采样</x:t>
  </x:si>
  <x:si>
    <x:t xml:space="preserve">配置短/中/长期采样分辨率、保存期限、过期清理和查询限额</x:t>
  </x:si>
  <x:si>
    <x:t xml:space="preserve">超期数据按策略删除；7d/30d 查询响应达到约定 SLO；断采样无数据断点；不影响 API 和计费</x:t>
  </x:si>
  <x:si>
    <x:t xml:space="preserve">Retention/Compaction 测试、历史查询压力测试</x:t>
  </x:si>
  <x:si>
    <x:t xml:space="preserve">ALT-04</x:t>
  </x:si>
  <x:si>
    <x:t xml:space="preserve">告警关联</x:t>
  </x:si>
  <x:si>
    <x:t xml:space="preserve">告警关联去重和聚合</x:t>
  </x:si>
  <x:si>
    <x:t xml:space="preserve">按 rule_id + resource UID + 窗口建立告警指纹；事故级聚合且保留原始事件</x:t>
  </x:si>
  <x:si>
    <x:t xml:space="preserve">不同 Pod 分别触发但同一事件不会重复轰炸；多个 P0/P1 规则能关联事故、保留证据</x:t>
  </x:si>
  <x:si>
    <x:t xml:space="preserve">双 Pod 并发触发、Leader 切换、重复发送回归</x:t>
  </x:si>
  <x:si>
    <x:t xml:space="preserve">ALT-05</x:t>
  </x:si>
  <x:si>
    <x:t xml:space="preserve">告警生命周期</x:t>
  </x:si>
  <x:si>
    <x:t xml:space="preserve">告警升级与恢复通知</x:t>
  </x:si>
  <x:si>
    <x:t xml:space="preserve">支持 Warning→Critical 升级、恢复、静默、冷却、事件历史及发送追踪</x:t>
  </x:si>
  <x:si>
    <x:t xml:space="preserve">同一事故正确升级、恢复通知只发一次；阈值抖动无通知风暴</x:t>
  </x:si>
  <x:si>
    <x:t xml:space="preserve">告警连续触发/恢复、抖动测试、接收侧重试</x:t>
  </x:si>
  <x:si>
    <x:t xml:space="preserve">ALT-06</x:t>
  </x:si>
  <x:si>
    <x:t xml:space="preserve">国际化</x:t>
  </x:si>
  <x:si>
    <x:t xml:space="preserve">运维邮件默认中文</x:t>
  </x:si>
  <x:si>
    <x:t xml:space="preserve">无语言偏好默认 zh-CN，支持 en-US 模板，变量与时区明确</x:t>
  </x:si>
  <x:si>
    <x:t xml:space="preserve">中文环境收到中文标题与正文；英文偏好生效；邮件无未翻译键、乱码</x:t>
  </x:si>
  <x:si>
    <x:t xml:space="preserve">中文/英文模板、时区、各种严重级别内容测试</x:t>
  </x:si>
  <x:si>
    <x:t xml:space="preserve">ALT-07</x:t>
  </x:si>
  <x:si>
    <x:t xml:space="preserve">告警一致性</x:t>
  </x:si>
  <x:si>
    <x:t xml:space="preserve">告警评估状态持久化</x:t>
  </x:si>
  <x:si>
    <x:t xml:space="preserve">将持续触发计数、last evaluated、当前事件状态持久化；跨 Pod Leader 交接恢复</x:t>
  </x:si>
  <x:si>
    <x:t xml:space="preserve">重启或切主不丢历史持续计数；不重复告警/错误恢复；幂等状态更新</x:t>
  </x:si>
  <x:si>
    <x:t xml:space="preserve">连续超阈值中杀掉 Leader、恢复后继续计时</x:t>
  </x:si>
  <x:si>
    <x:t xml:space="preserve">ALT-08</x:t>
  </x:si>
  <x:si>
    <x:t xml:space="preserve">通知渠道</x:t>
  </x:si>
  <x:si>
    <x:t xml:space="preserve">Webhook 告警通知</x:t>
  </x:si>
  <x:si>
    <x:t xml:space="preserve">支持多 webhook URL、测试发送、HMAC 签名、投递 Outbox、重试、SSRF 防护</x:t>
  </x:si>
  <x:si>
    <x:t xml:space="preserve">支持 firing/upgrade/resolved；签名可验证；失败可追踪重试；禁用危险内网地址</x:t>
  </x:si>
  <x:si>
    <x:t xml:space="preserve">模拟 200/429/500/超时、签名及并发通知测试</x:t>
  </x:si>
  <x:si>
    <x:t xml:space="preserve">REL-02</x:t>
  </x:si>
  <x:si>
    <x:t xml:space="preserve">安全</x:t>
  </x:si>
  <x:si>
    <x:t xml:space="preserve">监控 RBAC 与数据源安全</x:t>
  </x:si>
  <x:si>
    <x:t xml:space="preserve">统一后台 RBAC；限制 Prometheus 兼容查询、Secret 管理、速率与标签基数；所有云连接凭据最小权限；不得要求默认云管理员凭据。</x:t>
  </x:si>
  <x:si>
    <x:t xml:space="preserve">非管理员不可读写；密钥不出现在 API/UI/日志；PromQL 注入、高基数查询与 SSRF 受控</x:t>
  </x:si>
  <x:si>
    <x:t xml:space="preserve">RBAC/SSRF/注入、机密扫描与渗透测试</x:t>
  </x:si>
  <x:si>
    <x:t xml:space="preserve">ALT-09</x:t>
  </x:si>
  <x:si>
    <x:t xml:space="preserve">P2</x:t>
  </x:si>
  <x:si>
    <x:t xml:space="preserve">Pod 告警</x:t>
  </x:si>
  <x:si>
    <x:t xml:space="preserve">Pod 级资源告警</x:t>
  </x:si>
  <x:si>
    <x:t xml:space="preserve">支持 per Pod/Deployment CPU、内存、重启、OOM 规则、静默及资源标签过滤</x:t>
  </x:si>
  <x:si>
    <x:t xml:space="preserve">目标 Pod 异常独立触发，其他 Pod 不误报警；重建保持 UID 生命周期</x:t>
  </x:si>
  <x:si>
    <x:t xml:space="preserve">单 Pod 压测、OOM 和重启事件测试</x:t>
  </x:si>
  <x:si>
    <x:t xml:space="preserve">ALT-10</x:t>
  </x:si>
  <x:si>
    <x:t xml:space="preserve">状态码告警</x:t>
  </x:si>
  <x:si>
    <x:t xml:space="preserve">4xx / 5xx 独立分类告警</x:t>
  </x:si>
  <x:si>
    <x:t xml:space="preserve">支持每 Service、来源、状态码类别的次数、比率、双门槛和排除规则</x:t>
  </x:si>
  <x:si>
    <x:t xml:space="preserve">5xx 事件基于最小请求量+错误数条件触发；4xx 可排除 429；入口/应用分离</x:t>
  </x:si>
  <x:si>
    <x:t xml:space="preserve">注入各类 HTTP 错误与低流量例子</x:t>
  </x:si>
  <x:si>
    <x:t xml:space="preserve">ALT-11</x:t>
  </x:si>
  <x:si>
    <x:t xml:space="preserve">通知可靠性</x:t>
  </x:si>
  <x:si>
    <x:t xml:space="preserve">邮件失败持久化重试及状态追踪</x:t>
  </x:si>
  <x:si>
    <x:t xml:space="preserve">邮件通知使用持久化投递任务、幂等键、指数退避、失败记录</x:t>
  </x:si>
  <x:si>
    <x:t xml:space="preserve">邮件故障后自动重试、不因 Pod 重启丢失；有失败次数、最终状态和人工重试入口</x:t>
  </x:si>
  <x:si>
    <x:t xml:space="preserve">SMTP 5xx/超时/Pod 退出与重复投递演练</x:t>
  </x:si>
  <x:si>
    <x:t xml:space="preserve">指标口径与验收细则 / Metric Contracts</x:t>
  </x:si>
  <x:si>
    <x:t xml:space="preserve">指标</x:t>
  </x:si>
  <x:si>
    <x:t xml:space="preserve">定义 / 计算</x:t>
  </x:si>
  <x:si>
    <x:t xml:space="preserve">边界约束</x:t>
  </x:si>
  <x:si>
    <x:t xml:space="preserve">验收取证</x:t>
  </x:si>
  <x:si>
    <x:t xml:space="preserve">Pod CPU / Limit</x:t>
  </x:si>
  <x:si>
    <x:t xml:space="preserve">CPU 使用核数 = rate(container_cpu_usage_seconds_total[5m]); 使用率 = CPU 使用核数 / 生效 CPU Limit 核数 ×100%</x:t>
  </x:si>
  <x:si>
    <x:t xml:space="preserve">托管/自建 K8s 使用统一标准指标；多容器逐一计算并校准；未设 Limit 则 N/A；Pod UID 区分重建；不依赖云厂商 SDK。</x:t>
  </x:si>
  <x:si>
    <x:t xml:space="preserve">kubectl get pod -o yaml；PromQL；Limit 更新前后历史样本</x:t>
  </x:si>
  <x:si>
    <x:t xml:space="preserve">Pod Memory / Limit</x:t>
  </x:si>
  <x:si>
    <x:t xml:space="preserve">内存 working set / 生效 Memory Limit ×100%；同时显示 used bytes 和 limit bytes</x:t>
  </x:si>
  <x:si>
    <x:t xml:space="preserve">不能用宿主机总内存代替 Pod Limit；展示 OOM、重启；无 K8s 的单实例展示容器/进程指标并将 Pod 相关字段设 N/A。</x:t>
  </x:si>
  <x:si>
    <x:t xml:space="preserve">kubelet/cAdvisor 与 kube-state-metrics 的时间点对账</x:t>
  </x:si>
  <x:si>
    <x:t xml:space="preserve">QPS</x:t>
  </x:si>
  <x:si>
    <x:t xml:space="preserve">指定时间窗口的 HTTP 请求数 / 窗口秒数；Service 维度按实例 Counter 聚合</x:t>
  </x:si>
  <x:si>
    <x:t xml:space="preserve">区分 HTTP 入站、完成请求和全局业务记录；不可重复汇总 /metrics 全局 Gauge</x:t>
  </x:si>
  <x:si>
    <x:t xml:space="preserve">预设请求量压测，对照请求计数和 promql rate</x:t>
  </x:si>
  <x:si>
    <x:t xml:space="preserve">RPM</x:t>
  </x:si>
  <x:si>
    <x:t xml:space="preserve">最近 60s 的请求增量，单位 requests/min；需要支持滑动窗口</x:t>
  </x:si>
  <x:si>
    <x:t xml:space="preserve">不可误写为 token/min；token/min 另设 TPM</x:t>
  </x:si>
  <x:si>
    <x:t xml:space="preserve">increase(requests_total[1m]) 与已知请求量对照</x:t>
  </x:si>
  <x:si>
    <x:t xml:space="preserve">HTTP P95 / P99</x:t>
  </x:si>
  <x:si>
    <x:t xml:space="preserve">histogram_quantile(0.95/0.99, sum by(le,service) rate(request_duration_bucket[5m]))</x:t>
  </x:si>
  <x:si>
    <x:t xml:space="preserve">不得平均各 Pod 的 P99；低样本要显示数据不足</x:t>
  </x:si>
  <x:si>
    <x:t xml:space="preserve">合成延迟分布 / Histogram 断言</x:t>
  </x:si>
  <x:si>
    <x:t xml:space="preserve">TTFT P95 / P99</x:t>
  </x:si>
  <x:si>
    <x:t xml:space="preserve">从请求开始到首个有效输出字节或 Token 的时间；与完整 SSE 耗时分开</x:t>
  </x:si>
  <x:si>
    <x:t xml:space="preserve">确定首输出标准；无首输出的失败响应不能加入成功 TTFT</x:t>
  </x:si>
  <x:si>
    <x:t xml:space="preserve">SSE / Responses / Claude 路径混合模拟</x:t>
  </x:si>
  <x:si>
    <x:t xml:space="preserve">4xx / 5xx</x:t>
  </x:si>
  <x:si>
    <x:t xml:space="preserve">分别按 1/5/15/60min 增量计数及占比；支持 status_code、service、source 下钻</x:t>
  </x:si>
  <x:si>
    <x:t xml:space="preserve">入口 Ingress/反代/LB 自身的 502/504 与应用端 5xx 不简单叠加；429 独立；各环境用相同 status/source 口径。</x:t>
  </x:si>
  <x:si>
    <x:t xml:space="preserve">故障注入，并与标准 Ingress/反向代理访问日志及应用日志对账。</x:t>
  </x:si>
  <x:si>
    <x:t xml:space="preserve">最低请求量</x:t>
  </x:si>
  <x:si>
    <x:t xml:space="preserve">规则评估窗口 request_count&gt;=min_requests 时方允许触发/恢复相关阈值规则</x:t>
  </x:si>
  <x:si>
    <x:t xml:space="preserve">低流量、无数据、查询失败须有显式状态</x:t>
  </x:si>
  <x:si>
    <x:t xml:space="preserve">逐分钟低流量与故障模拟，断言不误恢复</x:t>
  </x:si>
  <x:si>
    <x:t xml:space="preserve">资源级告警指纹</x:t>
  </x:si>
  <x:si>
    <x:t xml:space="preserve">rule_id + cluster / namespace + resource kind + resource UID + severity group</x:t>
  </x:si>
  <x:si>
    <x:t xml:space="preserve">Pod 重新创建后的 UID 不能串；同一事件发送幂等</x:t>
  </x:si>
  <x:si>
    <x:t xml:space="preserve">两个 Pod 同时违反阈值、leader 交接与恢复演练</x:t>
  </x:si>
  <x:si>
    <x:t xml:space="preserve">计费一致性</x:t>
  </x:si>
  <x:si>
    <x:t xml:space="preserve">使用不可变结算证据比对扣费、Usage Log、补偿结果；识别差额和积压</x:t>
  </x:si>
  <x:si>
    <x:t xml:space="preserve">Redis 不是账务权威源；告警不得成为计费关键路径</x:t>
  </x:si>
  <x:si>
    <x:t xml:space="preserve">数据库故障、Pod SIGKILL、Outbox 重放及账务对账</x:t>
  </x:si>
  <x:si>
    <x:t xml:space="preserve">Redis / PG</x:t>
  </x:si>
  <x:si>
    <x:t xml:space="preserve">保留 Ops 应用连接池与标准 PostgreSQL/Redis 实例监控；云 RDS/Tair 等托管专有指标可选接入，不影响核心监控。</x:t>
  </x:si>
  <x:si>
    <x:t xml:space="preserve">应用连接池与数据库实例连接数分别标注；自建 PostgreSQL/Redis 无云 API 也必须显示标准监控指标。</x:t>
  </x:si>
  <x:si>
    <x:t xml:space="preserve">标准自建实例 + 至少一个托管云实例核对；PostgreSQL/Redis Exporter 与现有 Ops 数据交叉验证。</x:t>
  </x:si>
  <x:si>
    <x:t xml:space="preserve">时间序列缺失</x:t>
  </x:si>
  <x:si>
    <x:t xml:space="preserve">失联、采集失败、不足样本、合法零值需要区分状态</x:t>
  </x:si>
  <x:si>
    <x:t xml:space="preserve">数据源断流时趋势断线；监控自身故障需要独立告警</x:t>
  </x:si>
  <x:si>
    <x:t xml:space="preserve">Prometheus 兼容 TSDB 停机、集中日志延迟、Pod 心跳及 Docker 进程健康演练。</x:t>
  </x:si>
  <x:si>
    <x:t xml:space="preserve">MODURELAY   /   多云与自建部署兼容验收矩阵</x:t>
  </x:si>
  <x:si>
    <x:t xml:space="preserve">统一技术栈：Prometheus 兼容 API + 标准 Kubernetes 指标 + 应用指标；云专有指标为可选增强。至少两种独立 K8s 环境实测，未测试的平台不得标记通过。</x:t>
  </x:si>
  <x:si>
    <x:t xml:space="preserve">部署环境</x:t>
  </x:si>
  <x:si>
    <x:t xml:space="preserve">部署模式</x:t>
  </x:si>
  <x:si>
    <x:t xml:space="preserve">资源监控对象</x:t>
  </x:si>
  <x:si>
    <x:t xml:space="preserve">Service / HTTP 监控</x:t>
  </x:si>
  <x:si>
    <x:t xml:space="preserve">PostgreSQL / Redis</x:t>
  </x:si>
  <x:si>
    <x:t xml:space="preserve">验收范围</x:t>
  </x:si>
  <x:si>
    <x:t xml:space="preserve">证据 / 限制说明</x:t>
  </x:si>
  <x:si>
    <x:t xml:space="preserve">Docker Compose</x:t>
  </x:si>
  <x:si>
    <x:t xml:space="preserve">standalone</x:t>
  </x:si>
  <x:si>
    <x:t xml:space="preserve">容器 CPU/内存与实际 Limit（可选容器指标）</x:t>
  </x:si>
  <x:si>
    <x:t xml:space="preserve">应用级 QPS/RPM/P95/P99/4xx/5xx（有采集源时）</x:t>
  </x:si>
  <x:si>
    <x:t xml:space="preserve">既有 Ops + 标准 DB/Redis 协议</x:t>
  </x:si>
  <x:si>
    <x:t xml:space="preserve">保留旧 Ops、扩展监控可选</x:t>
  </x:si>
  <x:si>
    <x:t xml:space="preserve">Linux 单进程</x:t>
  </x:si>
  <x:si>
    <x:t xml:space="preserve">进程/主机资源；不伪造 Pod Limit</x:t>
  </x:si>
  <x:si>
    <x:t xml:space="preserve">应用级 HTTP 指标；历史依赖 Prometheus 或等效 TSDB</x:t>
  </x:si>
  <x:si>
    <x:t xml:space="preserve">支持无 Docker 的单实例</x:t>
  </x:si>
  <x:si>
    <x:t xml:space="preserve">阿里云 ACK</x:t>
  </x:si>
  <x:si>
    <x:t xml:space="preserve">kubernetes</x:t>
  </x:si>
  <x:si>
    <x:t xml:space="preserve">kubelet/cAdvisor + kube-state-metrics</x:t>
  </x:si>
  <x:si>
    <x:t xml:space="preserve">Service/Ingress + Pod Counter/Histogram</x:t>
  </x:si>
  <x:si>
    <x:t xml:space="preserve">标准监控；阿里云云指标可选</x:t>
  </x:si>
  <x:si>
    <x:t xml:space="preserve">候选托管 K8s 实测环境</x:t>
  </x:si>
  <x:si>
    <x:t xml:space="preserve">腾讯云 TKE</x:t>
  </x:si>
  <x:si>
    <x:t xml:space="preserve">同 Kubernetes 标准指标</x:t>
  </x:si>
  <x:si>
    <x:t xml:space="preserve">标准监控；腾讯云指标可选</x:t>
  </x:si>
  <x:si>
    <x:t xml:space="preserve">通用 K8s 兼容目标</x:t>
  </x:si>
  <x:si>
    <x:t xml:space="preserve">AWS EKS</x:t>
  </x:si>
  <x:si>
    <x:t xml:space="preserve">标准监控；CloudWatch 可选</x:t>
  </x:si>
  <x:si>
    <x:t xml:space="preserve">Google GKE</x:t>
  </x:si>
  <x:si>
    <x:t xml:space="preserve">标准监控；Cloud Monitoring 可选</x:t>
  </x:si>
  <x:si>
    <x:t xml:space="preserve">Azure AKS</x:t>
  </x:si>
  <x:si>
    <x:t xml:space="preserve">标准监控；Azure Monitor 可选</x:t>
  </x:si>
  <x:si>
    <x:t xml:space="preserve">标准 PostgreSQL/Redis/Exporter</x:t>
  </x:si>
  <x:si>
    <x:t xml:space="preserve">至少一次独立环境实测</x:t>
  </x:si>
  <x:si>
    <x:t xml:space="preserve">验收原则与兼容边界</x:t>
  </x:si>
  <x:si>
    <x:t xml:space="preserve">01  核心功能只依赖开放协议：Kubernetes 标准接口、Prometheus HTTP API、HTTP 指标与标准 PostgreSQL / Redis。</x:t>
  </x:si>
  <x:si>
    <x:t xml:space="preserve">02  REL-01：Docker Compose + Linux 单实例做兼容回归；至少两种独立 Kubernetes 环境（优先托管 + 自建）验证单 Pod 与 ≥3 Pod。</x:t>
  </x:si>
  <x:si>
    <x:t xml:space="preserve">03  不要求全部托管 K8s 产品逐一上线实测；未验证厂商保持“未验收”，不能在宣传与交付资料中标记已通过。</x:t>
  </x:si>
  <x:si>
    <x:t xml:space="preserve">04  无 K8s 时，Pod/Namespace/HPA 字段显示“不适用”；无 Prometheus 时无法提供的历史 P95/P99 不得虚报为零。</x:t>
  </x:si>
  <x:si>
    <x:t xml:space="preserve">05  云厂商专属的 RDS/Redis、LB、日志指标仅作可选 Adapter；缺失时保留标准 Ops 能力且清楚标注数据来源。</x:t>
  </x:si>
  <x:si>
    <x:t xml:space="preserve">06  统一时间窗口、HTTP status/source、Pod Limit 基准、Service Histogram 聚合与错误去重规则；跨环境取证可比较。</x:t>
  </x:si>
  <x:si>
    <x:t xml:space="preserve">07  采集失联与数据库/Redis 不可用应区分；监控系统故障不应影响网关请求和账务正确性。</x:t>
  </x:si>
</x:sst>
</file>

<file path=xl/styles.xml><?xml version="1.0" encoding="utf-8"?>
<x:styleSheet xmlns:x="http://schemas.openxmlformats.org/spreadsheetml/2006/main">
  <x:fonts count="32">
    <x:font>
      <x:sz val="11"/>
      <x:name val="Carlito"/>
    </x:font>
    <x:font>
      <x:b/>
      <x:sz val="18"/>
      <x:color rgb="FFFFFFFF"/>
      <x:name val="Aptos"/>
    </x:font>
    <x:font>
      <x:sz val="10"/>
      <x:color rgb="FF36566B"/>
      <x:name val="Carlito"/>
    </x:font>
    <x:font>
      <x:sz val="9"/>
      <x:color rgb="FF66798D"/>
      <x:name val="Carlito"/>
    </x:font>
    <x:font>
      <x:b/>
      <x:sz val="10"/>
      <x:color rgb="FFFFFFFF"/>
      <x:name val="Carlito"/>
    </x:font>
    <x:font>
      <x:sz val="10"/>
      <x:color rgb="FF293544"/>
      <x:name val="Aptos"/>
    </x:font>
    <x:font>
      <x:b/>
      <x:sz val="10"/>
      <x:color rgb="FF17405B"/>
      <x:name val="Aptos"/>
    </x:font>
    <x:font>
      <x:b/>
      <x:sz val="10"/>
      <x:color rgb="FFAA2333"/>
      <x:name val="Aptos"/>
    </x:font>
    <x:font>
      <x:b/>
      <x:sz val="10"/>
      <x:color rgb="FF925600"/>
      <x:name val="Aptos"/>
    </x:font>
    <x:font>
      <x:b/>
      <x:sz val="10"/>
      <x:color rgb="FF2B5E9E"/>
      <x:name val="Aptos"/>
    </x:font>
    <x:font>
      <x:b/>
      <x:sz val="20"/>
      <x:color rgb="FFFFFFFF"/>
      <x:name val="Carlito"/>
    </x:font>
    <x:font>
      <x:b/>
      <x:sz val="11"/>
      <x:color rgb="FFFFFFFF"/>
      <x:name val="Carlito"/>
    </x:font>
    <x:font>
      <x:b/>
      <x:sz val="22"/>
      <x:color rgb="FF17405B"/>
      <x:name val="Carlito"/>
    </x:font>
    <x:font>
      <x:b/>
      <x:sz val="22"/>
      <x:color rgb="FFB42334"/>
      <x:name val="Carlito"/>
    </x:font>
    <x:font>
      <x:b/>
      <x:sz val="22"/>
      <x:color rgb="FF966000"/>
      <x:name val="Carlito"/>
    </x:font>
    <x:font>
      <x:b/>
      <x:sz val="22"/>
      <x:color rgb="FF285FA5"/>
      <x:name val="Carlito"/>
    </x:font>
    <x:font>
      <x:sz val="11"/>
      <x:color rgb="FF293544"/>
      <x:name val="Carlito"/>
    </x:font>
    <x:font>
      <x:b/>
      <x:sz val="17"/>
      <x:color rgb="FFFFFFFF"/>
      <x:name val="Carlito"/>
    </x:font>
    <x:font>
      <x:sz val="10"/>
      <x:color rgb="FF293544"/>
      <x:name val="Carlito"/>
    </x:font>
    <x:font>
      <x:sz val="11"/>
      <x:name val="Carlito"/>
    </x:font>
    <x:font>
      <x:sz val="9"/>
      <x:name val="宋体"/>
      <x:family val="3"/>
    </x:font>
    <x:font>
      <x:b/>
      <x:sz val="16"/>
      <x:color rgb="FFFFFFFF"/>
      <x:name val="Carlito"/>
    </x:font>
    <x:font>
      <x:sz val="10"/>
      <x:color rgb="FF12506D"/>
      <x:name val="Carlito"/>
    </x:font>
    <x:font>
      <x:b/>
      <x:sz val="11"/>
      <x:name val="Carlito"/>
    </x:font>
    <x:font>
      <x:b/>
      <x:sz val="11"/>
      <x:color rgb="FF995F11"/>
      <x:name val="Carlito"/>
    </x:font>
    <x:font>
      <x:sz val="10"/>
      <x:color rgb="FF334155"/>
      <x:name val="Carlito"/>
    </x:font>
    <x:font>
      <x:b/>
      <x:sz val="10"/>
      <x:color rgb="FFFFFFFF"/>
      <x:name val="Aptos"/>
    </x:font>
    <x:font>
      <x:b/>
      <x:sz val="10"/>
      <x:color rgb="FF24613B"/>
      <x:name val="Aptos"/>
    </x:font>
    <x:font>
      <x:b/>
      <x:sz val="10"/>
      <x:color rgb="FF8A5600"/>
      <x:name val="Aptos"/>
    </x:font>
    <x:font>
      <x:b/>
      <x:sz val="11"/>
      <x:color rgb="FF24613B"/>
      <x:name val="Carlito"/>
    </x:font>
    <x:font>
      <x:b/>
      <x:sz val="11"/>
      <x:color rgb="FF8A5600"/>
      <x:name val="Carlito"/>
    </x:font>
    <x:font>
      <x:b/>
      <x:sz val="11"/>
      <x:color rgb="FF586575"/>
      <x:name val="Carlito"/>
    </x:font>
  </x:fonts>
  <x:fills count="27">
    <x:fill>
      <x:patternFill patternType="none"/>
    </x:fill>
    <x:fill>
      <x:patternFill patternType="gray125"/>
    </x:fill>
    <x:fill>
      <x:patternFill patternType="solid">
        <x:fgColor rgb="FF11263B"/>
      </x:patternFill>
    </x:fill>
    <x:fill>
      <x:patternFill patternType="solid">
        <x:fgColor rgb="FFE8F0F5"/>
      </x:patternFill>
    </x:fill>
    <x:fill>
      <x:patternFill patternType="solid">
        <x:fgColor rgb="FFF5F8FB"/>
      </x:patternFill>
    </x:fill>
    <x:fill>
      <x:patternFill patternType="solid">
        <x:fgColor rgb="FF17405B"/>
      </x:patternFill>
    </x:fill>
    <x:fill>
      <x:patternFill patternType="solid">
        <x:fgColor rgb="FFFCE8E8"/>
      </x:patternFill>
    </x:fill>
    <x:fill>
      <x:patternFill patternType="solid">
        <x:fgColor rgb="FFFFF1D9"/>
      </x:patternFill>
    </x:fill>
    <x:fill>
      <x:patternFill patternType="solid">
        <x:fgColor rgb="FFEAF0FF"/>
      </x:patternFill>
    </x:fill>
    <x:fill>
      <x:patternFill patternType="solid">
        <x:fgColor rgb="FFF3F5F9"/>
      </x:patternFill>
    </x:fill>
    <x:fill>
      <x:patternFill patternType="solid">
        <x:fgColor rgb="FFF2F7FA"/>
      </x:patternFill>
    </x:fill>
    <x:fill>
      <x:patternFill patternType="solid">
        <x:fgColor rgb="FFFFFFFF"/>
      </x:patternFill>
    </x:fill>
    <x:fill>
      <x:patternFill patternType="solid">
        <x:fgColor rgb="FF123B55"/>
      </x:patternFill>
    </x:fill>
    <x:fill>
      <x:patternFill patternType="solid">
        <x:fgColor rgb="FFE5F4F8"/>
      </x:patternFill>
    </x:fill>
    <x:fill>
      <x:patternFill patternType="solid">
        <x:fgColor rgb="FF164B68"/>
      </x:patternFill>
    </x:fill>
    <x:fill>
      <x:patternFill patternType="solid">
        <x:fgColor rgb="FFEAF5FA"/>
      </x:patternFill>
    </x:fill>
    <x:fill>
      <x:patternFill patternType="solid">
        <x:fgColor rgb="FFFFFFFF"/>
      </x:patternFill>
    </x:fill>
    <x:fill>
      <x:patternFill patternType="solid">
        <x:fgColor rgb="FFFFF1DC"/>
      </x:patternFill>
    </x:fill>
    <x:fill>
      <x:patternFill patternType="solid">
        <x:fgColor rgb="FFF1F6FA"/>
      </x:patternFill>
    </x:fill>
    <x:fill>
      <x:patternFill patternType="solid">
        <x:fgColor rgb="FF17405B"/>
      </x:patternFill>
    </x:fill>
    <x:fill>
      <x:patternFill patternType="solid">
        <x:fgColor rgb="FFF2F7FA"/>
      </x:patternFill>
    </x:fill>
    <x:fill>
      <x:patternFill patternType="solid">
        <x:fgColor rgb="FFFFFFFF"/>
      </x:patternFill>
    </x:fill>
    <x:fill>
      <x:patternFill patternType="solid">
        <x:fgColor rgb="FFF2F7FA"/>
      </x:patternFill>
    </x:fill>
    <x:fill>
      <x:patternFill patternType="solid">
        <x:fgColor rgb="FFFFFFFF"/>
      </x:patternFill>
    </x:fill>
    <x:fill>
      <x:patternFill patternType="solid">
        <x:fgColor rgb="FFE8F2EC"/>
      </x:patternFill>
    </x:fill>
    <x:fill>
      <x:patternFill patternType="solid">
        <x:fgColor rgb="FFFFF0CC"/>
      </x:patternFill>
    </x:fill>
    <x:fill>
      <x:patternFill patternType="solid">
        <x:fgColor rgb="FFEEF1F5"/>
      </x:patternFill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9" fillId="0" borderId="0"/>
  </x:cellStyleXfs>
  <x:cellXfs count="83">
    <x:xf numFmtId="0" fontId="0" fillId="0" borderId="0" xfId="0"/>
    <x:xf numFmtId="0" fontId="4" fillId="5" borderId="0" xfId="1" applyNumberFormat="1" applyFont="1" applyFill="1" applyBorder="1"/>
    <x:xf numFmtId="0" fontId="4" fillId="5" borderId="0" xfId="1" applyNumberFormat="1" applyFont="1" applyFill="1" applyBorder="1" applyAlignment="1">
      <x:alignment horizontal="center" vertical="center"/>
    </x:xf>
    <x:xf numFmtId="0" fontId="5" fillId="0" borderId="0" xfId="1" applyNumberFormat="1" applyFont="1" applyFill="1" applyBorder="1" applyAlignment="1">
      <x:alignment vertical="center" wrapText="1"/>
    </x:xf>
    <x:xf numFmtId="0" fontId="6" fillId="0" borderId="0" xfId="1" applyNumberFormat="1" applyFont="1" applyFill="1" applyBorder="1" applyAlignment="1">
      <x:alignment vertical="center" wrapText="1"/>
    </x:xf>
    <x:xf numFmtId="0" fontId="7" fillId="6" borderId="0" xfId="1" applyNumberFormat="1" applyFont="1" applyFill="1" applyBorder="1" applyAlignment="1">
      <x:alignment horizontal="center" vertical="center" wrapText="1"/>
    </x:xf>
    <x:xf numFmtId="0" fontId="8" fillId="7" borderId="0" xfId="1" applyNumberFormat="1" applyFont="1" applyFill="1" applyBorder="1" applyAlignment="1">
      <x:alignment horizontal="center" vertical="center" wrapText="1"/>
    </x:xf>
    <x:xf numFmtId="0" fontId="9" fillId="8" borderId="0" xfId="1" applyNumberFormat="1" applyFont="1" applyFill="1" applyBorder="1" applyAlignment="1">
      <x:alignment horizontal="center" vertical="center" wrapText="1"/>
    </x:xf>
    <x:xf numFmtId="0" fontId="5" fillId="0" borderId="0" xfId="1" applyNumberFormat="1" applyFont="1" applyFill="1" applyBorder="1" applyAlignment="1">
      <x:alignment horizontal="center" vertical="center" wrapText="1"/>
    </x:xf>
    <x:xf numFmtId="0" fontId="5" fillId="9" borderId="0" xfId="1" applyNumberFormat="1" applyFont="1" applyFill="1" applyBorder="1" applyAlignment="1">
      <x:alignment horizontal="center" vertical="center" wrapText="1"/>
    </x:xf>
    <x:xf numFmtId="0" fontId="11" fillId="5" borderId="0" xfId="1" applyNumberFormat="1" applyFont="1" applyFill="1" applyBorder="1"/>
    <x:xf numFmtId="0" fontId="11" fillId="5" borderId="0" xfId="1" applyNumberFormat="1" applyFont="1" applyFill="1" applyBorder="1" applyAlignment="1">
      <x:alignment horizontal="center"/>
    </x:xf>
    <x:xf numFmtId="0" fontId="12" fillId="10" borderId="0" xfId="1" applyNumberFormat="1" applyFont="1" applyFill="1" applyBorder="1" applyAlignment="1">
      <x:alignment horizontal="center" vertical="center"/>
    </x:xf>
    <x:xf numFmtId="0" fontId="13" fillId="10" borderId="0" xfId="1" applyNumberFormat="1" applyFont="1" applyFill="1" applyBorder="1" applyAlignment="1">
      <x:alignment horizontal="center" vertical="center"/>
    </x:xf>
    <x:xf numFmtId="0" fontId="14" fillId="10" borderId="0" xfId="1" applyNumberFormat="1" applyFont="1" applyFill="1" applyBorder="1" applyAlignment="1">
      <x:alignment horizontal="center" vertical="center"/>
    </x:xf>
    <x:xf numFmtId="0" fontId="15" fillId="10" borderId="0" xfId="1" applyNumberFormat="1" applyFont="1" applyFill="1" applyBorder="1" applyAlignment="1">
      <x:alignment horizontal="center" vertical="center"/>
    </x:xf>
    <x:xf numFmtId="0" fontId="16" fillId="0" borderId="0" xfId="1" applyNumberFormat="1" applyFont="1" applyFill="1" applyBorder="1" applyAlignment="1">
      <x:alignment vertical="center" wrapText="1"/>
    </x:xf>
    <x:xf numFmtId="0" fontId="18" fillId="0" borderId="0" xfId="1" applyNumberFormat="1" applyFont="1" applyFill="1" applyBorder="1" applyAlignment="1">
      <x:alignment vertical="center" wrapText="1"/>
    </x:xf>
    <x:xf numFmtId="0" fontId="4" fillId="14" borderId="0" xfId="0" applyNumberFormat="1" applyFont="1" applyFill="1" applyBorder="1" applyAlignment="1">
      <x:alignment horizontal="center" vertical="center"/>
    </x:xf>
    <x:xf numFmtId="0" fontId="0" fillId="15" borderId="0" xfId="0" applyNumberFormat="1" applyFont="1" applyFill="1" applyBorder="1" applyAlignment="1">
      <x:alignment vertical="center" wrapText="1"/>
    </x:xf>
    <x:xf numFmtId="0" fontId="0" fillId="16" borderId="0" xfId="0" applyNumberFormat="1" applyFont="1" applyFill="1" applyBorder="1" applyAlignment="1">
      <x:alignment vertical="center" wrapText="1"/>
    </x:xf>
    <x:xf numFmtId="0" fontId="23" fillId="15" borderId="0" xfId="0" applyNumberFormat="1" applyFont="1" applyFill="1" applyBorder="1" applyAlignment="1">
      <x:alignment vertical="center" wrapText="1"/>
    </x:xf>
    <x:xf numFmtId="0" fontId="23" fillId="16" borderId="0" xfId="0" applyNumberFormat="1" applyFont="1" applyFill="1" applyBorder="1" applyAlignment="1">
      <x:alignment vertical="center" wrapText="1"/>
    </x:xf>
    <x:xf numFmtId="0" fontId="24" fillId="17" borderId="0" xfId="0" applyNumberFormat="1" applyFont="1" applyFill="1" applyBorder="1" applyAlignment="1">
      <x:alignment horizontal="center" vertical="center" wrapText="1"/>
    </x:xf>
    <x:xf numFmtId="0" fontId="16" fillId="4" borderId="0" xfId="0" applyNumberFormat="1" applyFont="1" applyFill="1" applyBorder="1" applyAlignment="1">
      <x:alignment vertical="center" wrapText="1"/>
    </x:xf>
    <x:xf numFmtId="0" fontId="16" fillId="4" borderId="0" xfId="1" applyNumberFormat="1" applyFont="1" applyFill="1" applyBorder="1" applyAlignment="1">
      <x:alignment vertical="center"/>
    </x:xf>
    <x:xf numFmtId="0" fontId="16" fillId="11" borderId="0" xfId="1" applyNumberFormat="1" applyFont="1" applyFill="1" applyBorder="1" applyAlignment="1">
      <x:alignment vertical="center"/>
    </x:xf>
    <x:xf numFmtId="0" fontId="10" fillId="2" borderId="0" xfId="1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0" xfId="1" applyNumberFormat="1" applyFont="1" applyFill="1" applyBorder="1" applyAlignment="1">
      <x:alignment vertical="center"/>
    </x:xf>
    <x:xf numFmtId="0" fontId="11" fillId="5" borderId="0" xfId="1" applyNumberFormat="1" applyFont="1" applyFill="1" applyBorder="1"/>
    <x:xf numFmtId="0" fontId="16" fillId="11" borderId="0" xfId="0" applyNumberFormat="1" applyFont="1" applyFill="1" applyBorder="1" applyAlignment="1">
      <x:alignment vertical="center" wrapText="1"/>
    </x:xf>
    <x:xf numFmtId="0" fontId="1" fillId="2" borderId="0" xfId="1" applyNumberFormat="1" applyFont="1" applyFill="1" applyBorder="1" applyAlignment="1">
      <x:alignment vertical="center"/>
    </x:xf>
    <x:xf numFmtId="0" fontId="3" fillId="4" borderId="0" xfId="1" applyNumberFormat="1" applyFont="1" applyFill="1" applyBorder="1" applyAlignment="1">
      <x:alignment vertical="center"/>
    </x:xf>
    <x:xf numFmtId="0" fontId="17" fillId="2" borderId="0" xfId="1" applyNumberFormat="1" applyFont="1" applyFill="1" applyBorder="1" applyAlignment="1">
      <x:alignment vertical="center"/>
    </x:xf>
    <x:xf numFmtId="0" fontId="21" fillId="12" borderId="0" xfId="0" applyNumberFormat="1" applyFont="1" applyFill="1" applyBorder="1" applyAlignment="1">
      <x:alignment vertical="center"/>
    </x:xf>
    <x:xf numFmtId="0" fontId="22" fillId="13" borderId="0" xfId="0" applyNumberFormat="1" applyFont="1" applyFill="1" applyBorder="1" applyAlignment="1">
      <x:alignment vertical="center" wrapText="1"/>
    </x:xf>
    <x:xf numFmtId="0" fontId="11" fillId="14" borderId="0" xfId="0" applyNumberFormat="1" applyFont="1" applyFill="1" applyBorder="1"/>
    <x:xf numFmtId="0" fontId="25" fillId="18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horizontal="center" vertical="top" wrapText="1"/>
    </x:xf>
    <x:xf numFmtId="0" fontId="5" fillId="9" borderId="0" xfId="0" applyNumberFormat="1" applyFont="1" applyFill="1" applyBorder="1" applyAlignment="1">
      <x:alignment horizontal="center" vertical="top" wrapText="1"/>
    </x:xf>
    <x:xf numFmtId="0" fontId="11" fillId="5" borderId="0" xfId="0" applyNumberFormat="1" applyFont="1" applyFill="1" applyBorder="1" applyAlignment="1">
      <x:alignment horizontal="center"/>
    </x:xf>
    <x:xf numFmtId="0" fontId="12" fillId="10" borderId="0" xfId="0" applyNumberFormat="1" applyFont="1" applyFill="1" applyBorder="1" applyAlignment="1">
      <x:alignment horizontal="center" vertical="center"/>
    </x:xf>
    <x:xf numFmtId="0" fontId="11" fillId="5" borderId="0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19" borderId="0" xfId="0" applyNumberFormat="1" applyFont="1" applyFill="1" applyBorder="1"/>
    <x:xf numFmtId="0" fontId="26" fillId="19" borderId="0" xfId="0" applyNumberFormat="1" applyFont="1" applyFill="1" applyBorder="1"/>
    <x:xf numFmtId="0" fontId="26" fillId="19" borderId="0" xfId="0" applyNumberFormat="1" applyFont="1" applyFill="1" applyBorder="1" applyAlignment="1">
      <x:alignment vertical="center"/>
    </x:xf>
    <x:xf numFmtId="0" fontId="0" fillId="20" borderId="0" xfId="0" applyNumberFormat="1" applyFont="1" applyFill="1" applyBorder="1"/>
    <x:xf numFmtId="0" fontId="5" fillId="20" borderId="0" xfId="0" applyNumberFormat="1" applyFont="1" applyFill="1" applyBorder="1"/>
    <x:xf numFmtId="0" fontId="5" fillId="20" borderId="0" xfId="0" applyNumberFormat="1" applyFont="1" applyFill="1" applyBorder="1" applyAlignment="1">
      <x:alignment wrapText="1"/>
    </x:xf>
    <x:xf numFmtId="0" fontId="5" fillId="20" borderId="0" xfId="0" applyNumberFormat="1" applyFont="1" applyFill="1" applyBorder="1" applyAlignment="1">
      <x:alignment vertical="center" wrapText="1"/>
    </x:xf>
    <x:xf numFmtId="0" fontId="0" fillId="21" borderId="0" xfId="0" applyNumberFormat="1" applyFont="1" applyFill="1" applyBorder="1"/>
    <x:xf numFmtId="0" fontId="5" fillId="21" borderId="0" xfId="0" applyNumberFormat="1" applyFont="1" applyFill="1" applyBorder="1"/>
    <x:xf numFmtId="0" fontId="5" fillId="21" borderId="0" xfId="0" applyNumberFormat="1" applyFont="1" applyFill="1" applyBorder="1" applyAlignment="1">
      <x:alignment wrapText="1"/>
    </x:xf>
    <x:xf numFmtId="0" fontId="5" fillId="21" borderId="0" xfId="0" applyNumberFormat="1" applyFont="1" applyFill="1" applyBorder="1" applyAlignment="1">
      <x:alignment vertical="center" wrapText="1"/>
    </x:xf>
    <x:xf numFmtId="0" fontId="0" fillId="22" borderId="0" xfId="0" applyNumberFormat="1" applyFont="1" applyFill="1" applyBorder="1"/>
    <x:xf numFmtId="0" fontId="5" fillId="22" borderId="0" xfId="0" applyNumberFormat="1" applyFont="1" applyFill="1" applyBorder="1"/>
    <x:xf numFmtId="0" fontId="5" fillId="22" borderId="0" xfId="0" applyNumberFormat="1" applyFont="1" applyFill="1" applyBorder="1" applyAlignment="1">
      <x:alignment wrapText="1"/>
    </x:xf>
    <x:xf numFmtId="0" fontId="5" fillId="22" borderId="0" xfId="0" applyNumberFormat="1" applyFont="1" applyFill="1" applyBorder="1" applyAlignment="1">
      <x:alignment vertical="center" wrapText="1"/>
    </x:xf>
    <x:xf numFmtId="0" fontId="0" fillId="23" borderId="0" xfId="0" applyNumberFormat="1" applyFont="1" applyFill="1" applyBorder="1"/>
    <x:xf numFmtId="0" fontId="5" fillId="23" borderId="0" xfId="0" applyNumberFormat="1" applyFont="1" applyFill="1" applyBorder="1"/>
    <x:xf numFmtId="0" fontId="5" fillId="23" borderId="0" xfId="0" applyNumberFormat="1" applyFont="1" applyFill="1" applyBorder="1" applyAlignment="1">
      <x:alignment wrapText="1"/>
    </x:xf>
    <x:xf numFmtId="0" fontId="5" fillId="23" borderId="0" xfId="0" applyNumberFormat="1" applyFont="1" applyFill="1" applyBorder="1" applyAlignment="1">
      <x:alignment vertical="center" wrapText="1"/>
    </x:xf>
    <x:xf numFmtId="0" fontId="5" fillId="24" borderId="0" xfId="0" applyNumberFormat="1" applyFont="1" applyFill="1" applyBorder="1" applyAlignment="1">
      <x:alignment horizontal="center" vertical="center" wrapText="1"/>
    </x:xf>
    <x:xf numFmtId="0" fontId="27" fillId="24" borderId="0" xfId="0" applyNumberFormat="1" applyFont="1" applyFill="1" applyBorder="1" applyAlignment="1">
      <x:alignment horizontal="center" vertical="center" wrapText="1"/>
    </x:xf>
    <x:xf numFmtId="0" fontId="5" fillId="24" borderId="0" xfId="0" applyNumberFormat="1" applyFont="1" applyFill="1" applyBorder="1" applyAlignment="1">
      <x:alignment horizontal="center" vertical="top" wrapText="1"/>
    </x:xf>
    <x:xf numFmtId="0" fontId="27" fillId="24" borderId="0" xfId="0" applyNumberFormat="1" applyFont="1" applyFill="1" applyBorder="1" applyAlignment="1">
      <x:alignment horizontal="center" vertical="top" wrapText="1"/>
    </x:xf>
    <x:xf numFmtId="0" fontId="5" fillId="25" borderId="0" xfId="0" applyNumberFormat="1" applyFont="1" applyFill="1" applyBorder="1" applyAlignment="1">
      <x:alignment horizontal="center" vertical="center" wrapText="1"/>
    </x:xf>
    <x:xf numFmtId="0" fontId="28" fillId="25" borderId="0" xfId="0" applyNumberFormat="1" applyFont="1" applyFill="1" applyBorder="1" applyAlignment="1">
      <x:alignment horizontal="center" vertical="center" wrapText="1"/>
    </x:xf>
    <x:xf numFmtId="0" fontId="5" fillId="25" borderId="0" xfId="0" applyNumberFormat="1" applyFont="1" applyFill="1" applyBorder="1" applyAlignment="1">
      <x:alignment horizontal="center" vertical="top" wrapText="1"/>
    </x:xf>
    <x:xf numFmtId="0" fontId="28" fillId="25" borderId="0" xfId="0" applyNumberFormat="1" applyFont="1" applyFill="1" applyBorder="1" applyAlignment="1">
      <x:alignment horizontal="center" vertical="top" wrapText="1"/>
    </x:xf>
    <x:xf numFmtId="0" fontId="24" fillId="24" borderId="0" xfId="0" applyNumberFormat="1" applyFont="1" applyFill="1" applyBorder="1" applyAlignment="1">
      <x:alignment horizontal="center" vertical="center" wrapText="1"/>
    </x:xf>
    <x:xf numFmtId="0" fontId="29" fillId="24" borderId="0" xfId="0" applyNumberFormat="1" applyFont="1" applyFill="1" applyBorder="1" applyAlignment="1">
      <x:alignment horizontal="center" vertical="center" wrapText="1"/>
    </x:xf>
    <x:xf numFmtId="0" fontId="24" fillId="25" borderId="0" xfId="0" applyNumberFormat="1" applyFont="1" applyFill="1" applyBorder="1" applyAlignment="1">
      <x:alignment horizontal="center" vertical="center" wrapText="1"/>
    </x:xf>
    <x:xf numFmtId="0" fontId="30" fillId="25" borderId="0" xfId="0" applyNumberFormat="1" applyFont="1" applyFill="1" applyBorder="1" applyAlignment="1">
      <x:alignment horizontal="center" vertical="center" wrapText="1"/>
    </x:xf>
    <x:xf numFmtId="0" fontId="24" fillId="26" borderId="0" xfId="0" applyNumberFormat="1" applyFont="1" applyFill="1" applyBorder="1" applyAlignment="1">
      <x:alignment horizontal="center" vertical="center" wrapText="1"/>
    </x:xf>
    <x:xf numFmtId="0" fontId="31" fillId="26" borderId="0" xfId="0" applyNumberFormat="1" applyFont="1" applyFill="1" applyBorder="1" applyAlignment="1">
      <x:alignment horizontal="center" vertical="center" wrapText="1"/>
    </x:xf>
  </x:cellXfs>
  <x:cellStyles count="2">
    <x:cellStyle name="Normal" xfId="1"/>
    <x:cellStyle name="常规" xfId="0"/>
  </x:cellStyles>
  <x:dxfs count="4">
    <x:dxf>
      <x:font>
        <x:b/>
        <x:color rgb="FF24613B"/>
      </x:font>
      <x:fill>
        <x:patternFill>
          <x:bgColor rgb="FFE8F2EC"/>
        </x:patternFill>
      </x:fill>
    </x:dxf>
    <x:dxf>
      <x:font>
        <x:b/>
        <x:color rgb="FF8A5600"/>
      </x:font>
      <x:fill>
        <x:patternFill>
          <x:bgColor rgb="FFFFF0CC"/>
        </x:patternFill>
      </x:fill>
    </x:dxf>
    <x:dxf>
      <x:font>
        <x:b/>
        <x:color rgb="FFB4232D"/>
      </x:font>
      <x:fill>
        <x:patternFill>
          <x:bgColor rgb="FFFCE8E8"/>
        </x:patternFill>
      </x:fill>
    </x:dxf>
    <x:dxf>
      <x:font>
        <x:b/>
        <x:color rgb="FF3D5375"/>
      </x:font>
      <x:fill>
        <x:patternFill>
          <x:bgColor rgb="FFE8EDF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c0305b3c954ca1" /><Relationship Type="http://schemas.openxmlformats.org/officeDocument/2006/relationships/theme" Target="/xl/theme/theme1.xml" Id="Rae4edf69aee141c7" /><Relationship Type="http://schemas.openxmlformats.org/officeDocument/2006/relationships/sharedStrings" Target="/xl/sharedStrings.xml" Id="Rc47bf01c07b94a57" /><Relationship Type="http://schemas.openxmlformats.org/officeDocument/2006/relationships/worksheet" Target="/xl/worksheets/sheet1.xml" Id="Rf005549f38944591" /><Relationship Type="http://schemas.openxmlformats.org/officeDocument/2006/relationships/worksheet" Target="/xl/worksheets/sheet2.xml" Id="R2c450568cbc54c93" /><Relationship Type="http://schemas.openxmlformats.org/officeDocument/2006/relationships/worksheet" Target="/xl/worksheets/sheet3.xml" Id="R469ca234fdd44984" /><Relationship Type="http://schemas.openxmlformats.org/officeDocument/2006/relationships/worksheet" Target="/xl/worksheets/sheet4.xml" Id="R83085be5f5a34085" /></Relationships>
</file>

<file path=xl/tables/table1.xml><?xml version="1.0" encoding="utf-8"?>
<x:table xmlns:x="http://schemas.openxmlformats.org/spreadsheetml/2006/main" id="1" name="ModuRelayRequirements" displayName="ModuRelayRequirements" ref="A5:P37" headerRowCount="1" totalsRowCount="0" totalsRowShown="0">
  <x:autoFilter ref="A5:P37"/>
  <x:tableColumns count="16">
    <x:tableColumn id="1" name="需求编号"/>
    <x:tableColumn id="2" name="优先级"/>
    <x:tableColumn id="3" name="功能域"/>
    <x:tableColumn id="4" name="需求名称"/>
    <x:tableColumn id="5" name="代码完成状态"/>
    <x:tableColumn id="6" name="具体开发内容"/>
    <x:tableColumn id="7" name="验收标准"/>
    <x:tableColumn id="8" name="原定验收测试"/>
    <x:tableColumn id="9" name="开发阶段"/>
    <x:tableColumn id="10" name="本次核查代码证据"/>
    <x:tableColumn id="11" name="负责人"/>
    <x:tableColumn id="12" name="验收结果"/>
    <x:tableColumn id="13" name="已完成内容"/>
    <x:tableColumn id="14" name="未完成 / 待修复任务"/>
    <x:tableColumn id="15" name="待确认 / 环境验收"/>
    <x:tableColumn id="16" name="本轮核查与验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baaa7223b2c478d" /></Relationships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4.25"/>
  <x:cols>
    <x:col min="1" max="1" width="18" customWidth="1"/>
    <x:col min="2" max="2" width="32" customWidth="1"/>
    <x:col min="3" max="3" width="16" customWidth="1"/>
    <x:col min="4" max="4" width="35" customWidth="1"/>
    <x:col min="5" max="5" width="17" customWidth="1"/>
    <x:col min="6" max="8" width="16" customWidth="1"/>
    <x:col min="6" max="6" width="18" hidden="0" customWidth="1"/>
    <x:col min="7" max="7" width="18" hidden="0" customWidth="1"/>
    <x:col min="8" max="8" width="18" hidden="0" customWidth="1"/>
  </x:cols>
  <x:sheetData>
    <x:row r="1" ht="27.950000762939453" customHeight="1">
      <x:c r="A1" s="27" t="str">
        <x:v>MODURELAY    集群监控 / 告警实现与交付</x:v>
      </x:c>
      <x:c r="B1" s="27"/>
      <x:c r="C1" s="27"/>
      <x:c r="D1" s="27"/>
      <x:c r="E1" s="27"/>
      <x:c r="F1" s="27"/>
      <x:c r="G1" s="27"/>
      <x:c r="H1" s="27"/>
    </x:row>
    <x:row r="2" ht="27.950000762939453" customHeight="1">
      <x:c r="A2" s="27"/>
      <x:c r="B2" s="27"/>
      <x:c r="C2" s="27"/>
      <x:c r="D2" s="27"/>
      <x:c r="E2" s="27"/>
      <x:c r="F2" s="27"/>
      <x:c r="G2" s="27"/>
      <x:c r="H2" s="27"/>
    </x:row>
    <x:row r="3" ht="35.099998474121094" customHeight="1">
      <x:c r="A3" s="28" t="str">
        <x:v>2026-10-23｜31项软件实现完成，1项发布验收收尾｜本地验证与客户现场签收分别记录。</x:v>
      </x:c>
      <x:c r="B3" s="28"/>
      <x:c r="C3" s="28"/>
      <x:c r="D3" s="28"/>
      <x:c r="E3" s="28"/>
      <x:c r="F3" s="29"/>
      <x:c r="G3" s="29"/>
      <x:c r="H3" s="29"/>
    </x:row>
    <x:row r="5" ht="27.950000762939453" customHeight="1">
      <x:c r="A5" s="11" t="s">
        <x:v>0</x:v>
      </x:c>
      <x:c r="B5" s="11" t="s">
        <x:v>1</x:v>
      </x:c>
      <x:c r="C5" s="11" t="s">
        <x:v>2</x:v>
      </x:c>
      <x:c r="D5" s="11" t="s">
        <x:v>3</x:v>
      </x:c>
      <x:c r="E5" s="11" t="str">
        <x:v>本地复验通过</x:v>
      </x:c>
      <x:c r="F5" s="45" t="str">
        <x:v>代码完成</x:v>
      </x:c>
      <x:c r="G5" s="45" t="str">
        <x:v>发布验收收尾</x:v>
      </x:c>
      <x:c r="H5" s="45" t="str">
        <x:v>未实现</x:v>
      </x:c>
    </x:row>
    <x:row r="6" ht="50.099998474121094" customHeight="1">
      <x:c r="A6" s="12" t="n">
        <x:f>COUNTA(需求总表!A6:A37)</x:f>
        <x:v>32</x:v>
      </x:c>
      <x:c r="B6" s="13" t="n">
        <x:f>COUNTIF(需求总表!B6:B37,"P0")</x:f>
        <x:v>14</x:v>
      </x:c>
      <x:c r="C6" s="14" t="n">
        <x:f>COUNTIF(需求总表!B6:B37,"P1")</x:f>
        <x:v>15</x:v>
      </x:c>
      <x:c r="D6" s="15" t="n">
        <x:f>COUNTIF(需求总表!B6:B37,"P2")</x:f>
        <x:v>3</x:v>
      </x:c>
      <x:c r="E6" s="12" t="n">
        <x:f>COUNTIFS(需求总表!L6:L37,"本地通过")</x:f>
        <x:v>28</x:v>
      </x:c>
      <x:c r="F6" s="46" t="n">
        <x:f>COUNTIFS(需求总表!E6:E37,"已完成（代码）")</x:f>
        <x:v>31</x:v>
      </x:c>
      <x:c r="G6" s="46" t="n">
        <x:f>COUNTIFS(需求总表!E6:E37,"部分完成")</x:f>
        <x:v>1</x:v>
      </x:c>
      <x:c r="H6" s="46" t="n">
        <x:f>COUNTIFS(需求总表!E6:E37,"未完成")</x:f>
        <x:v>0</x:v>
      </x:c>
    </x:row>
    <x:row r="9" ht="27.950000762939453" customHeight="1">
      <x:c r="A9" s="10" t="s">
        <x:v>4</x:v>
      </x:c>
      <x:c r="B9" s="10" t="s">
        <x:v>5</x:v>
      </x:c>
      <x:c r="C9" s="10" t="s">
        <x:v>6</x:v>
      </x:c>
      <x:c r="D9" s="10" t="s">
        <x:v>7</x:v>
      </x:c>
      <x:c r="E9" s="47" t="str">
        <x:v>代码完成</x:v>
      </x:c>
      <x:c r="F9" s="47" t="str">
        <x:v>发布验收收尾</x:v>
      </x:c>
      <x:c r="G9" s="47" t="str">
        <x:v>未实现</x:v>
      </x:c>
      <x:c r="H9" s="47" t="str">
        <x:v>本地复验通过</x:v>
      </x:c>
    </x:row>
    <x:row r="10" ht="38.099998474121094" customHeight="1">
      <x:c r="A10" s="16" t="s">
        <x:v>8</x:v>
      </x:c>
      <x:c r="B10" s="16" t="s">
        <x:v>9</x:v>
      </x:c>
      <x:c r="C10" s="16" t="n">
        <x:f>COUNTIF(需求总表!I6:I37,A10)</x:f>
        <x:v>12</x:v>
      </x:c>
      <x:c r="D10" s="16" t="s">
        <x:v>10</x:v>
      </x:c>
      <x:c r="E10" s="49" t="n">
        <x:f>COUNTIFS(需求总表!I$6:I$37,A10,需求总表!E$6:E$37,"已完成（代码）")</x:f>
        <x:v>12</x:v>
      </x:c>
      <x:c r="F10" s="49" t="n">
        <x:f>COUNTIFS(需求总表!I$6:I$37,A10,需求总表!E$6:E$37,"部分完成")</x:f>
        <x:v>0</x:v>
      </x:c>
      <x:c r="G10" s="49" t="n">
        <x:f>COUNTIFS(需求总表!I$6:I$37,A10,需求总表!E$6:E$37,"未完成")</x:f>
        <x:v>0</x:v>
      </x:c>
      <x:c r="H10" s="49" t="n">
        <x:f>COUNTIFS(需求总表!I$6:I$37,A10,需求总表!L$6:L$37,"本地通过")</x:f>
        <x:v>12</x:v>
      </x:c>
    </x:row>
    <x:row r="11" ht="38.099998474121094" customHeight="1">
      <x:c r="A11" s="16" t="s">
        <x:v>11</x:v>
      </x:c>
      <x:c r="B11" s="16" t="s">
        <x:v>12</x:v>
      </x:c>
      <x:c r="C11" s="16" t="n">
        <x:f>COUNTIF(需求总表!I6:I37,A11)</x:f>
        <x:v>6</x:v>
      </x:c>
      <x:c r="D11" s="16" t="s">
        <x:v>13</x:v>
      </x:c>
      <x:c r="E11" s="49" t="n">
        <x:f>COUNTIFS(需求总表!I$6:I$37,A11,需求总表!E$6:E$37,"已完成（代码）")</x:f>
        <x:v>6</x:v>
      </x:c>
      <x:c r="F11" s="49" t="n">
        <x:f>COUNTIFS(需求总表!I$6:I$37,A11,需求总表!E$6:E$37,"部分完成")</x:f>
        <x:v>0</x:v>
      </x:c>
      <x:c r="G11" s="49" t="n">
        <x:f>COUNTIFS(需求总表!I$6:I$37,A11,需求总表!E$6:E$37,"未完成")</x:f>
        <x:v>0</x:v>
      </x:c>
      <x:c r="H11" s="49" t="n">
        <x:f>COUNTIFS(需求总表!I$6:I$37,A11,需求总表!L$6:L$37,"本地通过")</x:f>
        <x:v>3</x:v>
      </x:c>
    </x:row>
    <x:row r="12" ht="38.099998474121094" customHeight="1">
      <x:c r="A12" s="16" t="s">
        <x:v>14</x:v>
      </x:c>
      <x:c r="B12" s="16" t="s">
        <x:v>15</x:v>
      </x:c>
      <x:c r="C12" s="16" t="n">
        <x:f>COUNTIF(需求总表!I6:I37,A12)</x:f>
        <x:v>12</x:v>
      </x:c>
      <x:c r="D12" s="16" t="s">
        <x:v>16</x:v>
      </x:c>
      <x:c r="E12" s="49" t="n">
        <x:f>COUNTIFS(需求总表!I$6:I$37,A12,需求总表!E$6:E$37,"已完成（代码）")</x:f>
        <x:v>12</x:v>
      </x:c>
      <x:c r="F12" s="49" t="n">
        <x:f>COUNTIFS(需求总表!I$6:I$37,A12,需求总表!E$6:E$37,"部分完成")</x:f>
        <x:v>0</x:v>
      </x:c>
      <x:c r="G12" s="49" t="n">
        <x:f>COUNTIFS(需求总表!I$6:I$37,A12,需求总表!E$6:E$37,"未完成")</x:f>
        <x:v>0</x:v>
      </x:c>
      <x:c r="H12" s="49" t="n">
        <x:f>COUNTIFS(需求总表!I$6:I$37,A12,需求总表!L$6:L$37,"本地通过")</x:f>
        <x:v>12</x:v>
      </x:c>
    </x:row>
    <x:row r="13" ht="38.099998474121094" customHeight="1">
      <x:c r="A13" s="16" t="s">
        <x:v>17</x:v>
      </x:c>
      <x:c r="B13" s="16" t="s">
        <x:v>18</x:v>
      </x:c>
      <x:c r="C13" s="16" t="n">
        <x:f>COUNTIF(需求总表!I6:I37,A13)</x:f>
        <x:v>2</x:v>
      </x:c>
      <x:c r="D13" s="16" t="s">
        <x:v>19</x:v>
      </x:c>
      <x:c r="E13" s="49" t="n">
        <x:f>COUNTIFS(需求总表!I$6:I$37,A13,需求总表!E$6:E$37,"已完成（代码）")</x:f>
        <x:v>1</x:v>
      </x:c>
      <x:c r="F13" s="49" t="n">
        <x:f>COUNTIFS(需求总表!I$6:I$37,A13,需求总表!E$6:E$37,"部分完成")</x:f>
        <x:v>1</x:v>
      </x:c>
      <x:c r="G13" s="49" t="n">
        <x:f>COUNTIFS(需求总表!I$6:I$37,A13,需求总表!E$6:E$37,"未完成")</x:f>
        <x:v>0</x:v>
      </x:c>
      <x:c r="H13" s="49" t="n">
        <x:f>COUNTIFS(需求总表!I$6:I$37,A13,需求总表!L$6:L$37,"本地通过")</x:f>
        <x:v>1</x:v>
      </x:c>
    </x:row>
    <x:row r="16" ht="30" customHeight="1">
      <x:c r="A16" s="30" t="s">
        <x:v>20</x:v>
      </x:c>
      <x:c r="B16" s="30"/>
      <x:c r="C16" s="30"/>
      <x:c r="D16" s="30"/>
      <x:c r="E16" s="30"/>
      <x:c r="F16" s="30"/>
      <x:c r="G16" s="30"/>
      <x:c r="H16" s="30"/>
    </x:row>
    <x:row r="18" ht="44" customHeight="1">
      <x:c r="A18" s="24" t="s">
        <x:v>21</x:v>
      </x:c>
      <x:c r="B18" s="24"/>
      <x:c r="C18" s="24"/>
      <x:c r="D18" s="24"/>
      <x:c r="E18" s="24"/>
      <x:c r="F18" s="25"/>
      <x:c r="G18" s="25"/>
      <x:c r="H18" s="25"/>
    </x:row>
    <x:row r="19" ht="44" customHeight="1">
      <x:c r="A19" s="31" t="s">
        <x:v>22</x:v>
      </x:c>
      <x:c r="B19" s="31"/>
      <x:c r="C19" s="31"/>
      <x:c r="D19" s="31"/>
      <x:c r="E19" s="31"/>
      <x:c r="F19" s="26"/>
      <x:c r="G19" s="26"/>
      <x:c r="H19" s="26"/>
    </x:row>
    <x:row r="20" ht="44" customHeight="1">
      <x:c r="A20" s="24" t="s">
        <x:v>23</x:v>
      </x:c>
      <x:c r="B20" s="24"/>
      <x:c r="C20" s="24"/>
      <x:c r="D20" s="24"/>
      <x:c r="E20" s="24"/>
      <x:c r="F20" s="25"/>
      <x:c r="G20" s="25"/>
      <x:c r="H20" s="25"/>
    </x:row>
    <x:row r="21" ht="44" customHeight="1">
      <x:c r="A21" s="26" t="s">
        <x:v>24</x:v>
      </x:c>
      <x:c r="B21" s="26"/>
      <x:c r="C21" s="26"/>
      <x:c r="D21" s="26"/>
      <x:c r="E21" s="26"/>
      <x:c r="F21" s="26"/>
      <x:c r="G21" s="26"/>
      <x:c r="H21" s="26"/>
    </x:row>
    <x:row r="22" ht="44" customHeight="1">
      <x:c r="A22" s="25" t="str">
        <x:v>05   代码实现与客户签收分别记录：本地28项通过，MON-08/10/19及REL-01部分通过。性能、OOM计数器和目标环境发布限制见明细；不将本地测试等同生产放行。</x:v>
      </x:c>
      <x:c r="B22" s="25"/>
      <x:c r="C22" s="25"/>
      <x:c r="D22" s="25"/>
      <x:c r="E22" s="25"/>
      <x:c r="F22" s="25"/>
      <x:c r="G22" s="25"/>
      <x:c r="H22" s="25"/>
    </x:row>
    <x:row r="24" ht="27" customHeight="1">
      <x:c r="A24" s="47" t="str">
        <x:v>已修复的 7 项原审查问题</x:v>
      </x:c>
      <x:c r="B24" s="47"/>
      <x:c r="C24" s="47"/>
      <x:c r="D24" s="47"/>
      <x:c r="E24" s="47"/>
      <x:c r="F24" s="47"/>
      <x:c r="G24" s="47"/>
      <x:c r="H24" s="47"/>
    </x:row>
    <x:row r="25" ht="27" customHeight="1">
      <x:c r="A25" s="52" t="str">
        <x:v>问题编号</x:v>
      </x:c>
      <x:c r="B25" s="52" t="str">
        <x:v>缺陷优先级</x:v>
      </x:c>
      <x:c r="C25" s="52" t="str">
        <x:v>已实施修复与回归证据</x:v>
      </x:c>
      <x:c r="D25" s="52"/>
      <x:c r="E25" s="52"/>
      <x:c r="F25" s="52"/>
      <x:c r="G25" s="52"/>
      <x:c r="H25" s="52"/>
    </x:row>
    <x:row r="26" ht="46" customHeight="1">
      <x:c r="A26" s="56" t="str">
        <x:v>CR-01</x:v>
      </x:c>
      <x:c r="B26" s="56" t="str">
        <x:v>P1</x:v>
      </x:c>
      <x:c r="C26" s="56" t="str">
        <x:v>已修复：所有协议统一写入成功 TTFT，排除 metadata-only；真实 CC/Anthropic 延迟首输出、Gemini 与 Handler 回归通过。</x:v>
      </x:c>
      <x:c r="D26" s="56"/>
      <x:c r="E26" s="56"/>
      <x:c r="F26" s="56"/>
      <x:c r="G26" s="56"/>
      <x:c r="H26" s="56"/>
    </x:row>
    <x:row r="27" ht="46" customHeight="1">
      <x:c r="A27" s="60" t="str">
        <x:v>CR-02</x:v>
      </x:c>
      <x:c r="B27" s="60" t="str">
        <x:v>P1</x:v>
      </x:c>
      <x:c r="C27" s="60" t="str">
        <x:v>已修复：静默到期且故障持续时补首次通知；持久唯一键保证重复评估幂等，状态与通知意图原子落盘。</x:v>
      </x:c>
      <x:c r="D27" s="60"/>
      <x:c r="E27" s="60"/>
      <x:c r="F27" s="60"/>
      <x:c r="G27" s="60"/>
      <x:c r="H27" s="60"/>
    </x:row>
    <x:row r="28" ht="46" customHeight="1">
      <x:c r="A28" s="56" t="str">
        <x:v>CR-03</x:v>
      </x:c>
      <x:c r="B28" s="56" t="str">
        <x:v>P2</x:v>
      </x:c>
      <x:c r="C28" s="56" t="str">
        <x:v>已修复：健康证据齐全时返回 CrashLoop 恢复零；采集失联保持 Unknown。官方引擎与真实 Kubernetes 故障/恢复验证。</x:v>
      </x:c>
      <x:c r="D28" s="56"/>
      <x:c r="E28" s="56"/>
      <x:c r="F28" s="56"/>
      <x:c r="G28" s="56"/>
      <x:c r="H28" s="56"/>
    </x:row>
    <x:row r="29" ht="46" customHeight="1">
      <x:c r="A29" s="60" t="str">
        <x:v>CR-04</x:v>
      </x:c>
      <x:c r="B29" s="60" t="str">
        <x:v>P2</x:v>
      </x:c>
      <x:c r="C29" s="60" t="str">
        <x:v>已修复：入站 QPS/RPM 按同窗口入站样本执行最低请求量门槛；完成与 TTFT 使用各自样本，边界回归通过。</x:v>
      </x:c>
      <x:c r="D29" s="60"/>
      <x:c r="E29" s="60"/>
      <x:c r="F29" s="60"/>
      <x:c r="G29" s="60"/>
      <x:c r="H29" s="60"/>
    </x:row>
    <x:row r="30" ht="46" customHeight="1">
      <x:c r="A30" s="56" t="str">
        <x:v>CR-05</x:v>
      </x:c>
      <x:c r="B30" s="56" t="str">
        <x:v>P2</x:v>
      </x:c>
      <x:c r="C30" s="56" t="str">
        <x:v>已修复：不支持的过滤组合服务端拒绝；历史规则标记 invalid_rule，配置版本隔离旧状态，真实 PG 原子性回归通过。</x:v>
      </x:c>
      <x:c r="D30" s="56"/>
      <x:c r="E30" s="56"/>
      <x:c r="F30" s="56"/>
      <x:c r="G30" s="56"/>
      <x:c r="H30" s="56"/>
    </x:row>
    <x:row r="31" ht="46" customHeight="1">
      <x:c r="A31" s="60" t="str">
        <x:v>CR-06</x:v>
      </x:c>
      <x:c r="B31" s="60" t="str">
        <x:v>P2</x:v>
      </x:c>
      <x:c r="C31" s="60" t="str">
        <x:v>已修复：自定义时间分享链接写 UTC ISO，读取后本地显示；跨时区 8 小时偏移回归通过。</x:v>
      </x:c>
      <x:c r="D31" s="60"/>
      <x:c r="E31" s="60"/>
      <x:c r="F31" s="60"/>
      <x:c r="G31" s="60"/>
      <x:c r="H31" s="60"/>
    </x:row>
    <x:row r="32" ht="46" customHeight="1">
      <x:c r="A32" s="56" t="str">
        <x:v>CR-07</x:v>
      </x:c>
      <x:c r="B32" s="56" t="str">
        <x:v>P2</x:v>
      </x:c>
      <x:c r="C32" s="56" t="str">
        <x:v>已修复：PostgreSQL 仅统计 client backend；实测客户端1、后台8、总activity9，上限100。Redis Cluster逐节点与多应用池同时补齐。</x:v>
      </x:c>
      <x:c r="D32" s="56"/>
      <x:c r="E32" s="56"/>
      <x:c r="F32" s="56"/>
      <x:c r="G32" s="56"/>
      <x:c r="H32" s="56"/>
    </x:row>
    <x:row r="34" ht="27" customHeight="1">
      <x:c r="A34" s="47" t="str">
        <x:v>本轮补充修复与验证</x:v>
      </x:c>
      <x:c r="B34" s="47"/>
      <x:c r="C34" s="47"/>
      <x:c r="D34" s="47"/>
      <x:c r="E34" s="47"/>
      <x:c r="F34" s="47"/>
      <x:c r="G34" s="47"/>
      <x:c r="H34" s="47"/>
    </x:row>
    <x:row r="35" ht="55" customHeight="1">
      <x:c r="A35" s="56" t="str">
        <x:v>CR-08 · 抓取路由</x:v>
      </x:c>
      <x:c r="B35" s="56"/>
      <x:c r="C35" s="56" t="str">
        <x:v>已修复 embed SPA 吞掉 /metrics/instance：正式前端嵌入后，未带token返回401、合法token返回Prometheus文本；Docker与Kubernetes实际抓取通过。</x:v>
      </x:c>
      <x:c r="D35" s="56"/>
      <x:c r="E35" s="56"/>
      <x:c r="F35" s="56"/>
      <x:c r="G35" s="56"/>
      <x:c r="H35" s="56"/>
    </x:row>
    <x:row r="36" ht="55" customHeight="1">
      <x:c r="A36" s="60" t="str">
        <x:v>CR-09 · 计费隔离</x:v>
      </x:c>
      <x:c r="B36" s="60"/>
      <x:c r="C36" s="60" t="str">
        <x:v>迁移280将预期金额与revision保留在账户原行，后台独立写汇总核对账本。观测表锁定/400ms慢写下，业务100ms期限内仍提交；不宣称完整逐笔审计。</x:v>
      </x:c>
      <x:c r="D36" s="60"/>
      <x:c r="E36" s="60"/>
      <x:c r="F36" s="60"/>
      <x:c r="G36" s="60"/>
      <x:c r="H36" s="60"/>
    </x:row>
    <x:row r="37" ht="55" customHeight="1">
      <x:c r="A37" s="56" t="str">
        <x:v>后端与协议</x:v>
      </x:c>
      <x:c r="B37" s="56"/>
      <x:c r="C37" s="56" t="str">
        <x:v>最终6包 unit+embed：19,386 个测试及子用例通过，31跳过（原因见证据）。真实PG另跑15项全部通过；SMTP/TLS Webhook真实收发、故障恢复与签名已测。</x:v>
      </x:c>
      <x:c r="D37" s="56"/>
      <x:c r="E37" s="56"/>
      <x:c r="F37" s="56"/>
      <x:c r="G37" s="56"/>
      <x:c r="H37" s="56"/>
    </x:row>
    <x:row r="38" ht="55" customHeight="1">
      <x:c r="A38" s="60" t="str">
        <x:v>前端与构建</x:v>
      </x:c>
      <x:c r="B38" s="60"/>
      <x:c r="C38" s="60" t="str">
        <x:v>435个测试文件、3,241个测试通过；Vue与Canvas构建通过。真实嵌入页面在1440/390px、深浅主题下检查，无横向溢出或页面异常；键盘可达。</x:v>
      </x:c>
      <x:c r="D38" s="60"/>
      <x:c r="E38" s="60"/>
      <x:c r="F38" s="60"/>
      <x:c r="G38" s="60"/>
      <x:c r="H38" s="60"/>
    </x:row>
    <x:row r="39" ht="55" customHeight="1">
      <x:c r="A39" s="56" t="str">
        <x:v>指标与真实环境</x:v>
      </x:c>
      <x:c r="B39" s="56"/>
      <x:c r="C39" s="56" t="str">
        <x:v>独立k3s 1.35.5与kind 1.35.8实测：有效Limit、1→3副本、90请求守恒、UID隔离、Events与CrashLoop触发/失联保持/恢复解除均通过；156条固定查询、5条watchdog表达式及24个官方引擎语义场景通过。</x:v>
      </x:c>
      <x:c r="D39" s="56"/>
      <x:c r="E39" s="56"/>
      <x:c r="F39" s="56"/>
      <x:c r="G39" s="56"/>
      <x:c r="H39" s="56"/>
    </x:row>
    <x:row r="40" ht="55" customHeight="1">
      <x:c r="A40" s="60" t="str">
        <x:v>当前交付状态</x:v>
      </x:c>
      <x:c r="B40" s="60"/>
      <x:c r="C40" s="60" t="str">
        <x:v>原审查的7项缺陷及补测发现的2项缺陷已修复；31项软件实现完成。REL-01继续记录目标环境部署、灰度/回滚及签收，不能用本地运行代替客户生产验收。</x:v>
      </x:c>
      <x:c r="D40" s="60"/>
      <x:c r="E40" s="60"/>
      <x:c r="F40" s="60"/>
      <x:c r="G40" s="60"/>
      <x:c r="H40" s="60"/>
    </x:row>
    <x:row r="42" ht="27" customHeight="1">
      <x:c r="A42" s="47" t="str">
        <x:v>实际环境测试与交付边界</x:v>
      </x:c>
      <x:c r="B42" s="47"/>
      <x:c r="C42" s="47"/>
      <x:c r="D42" s="47"/>
      <x:c r="E42" s="47"/>
      <x:c r="F42" s="47"/>
      <x:c r="G42" s="47"/>
      <x:c r="H42" s="47"/>
    </x:row>
    <x:row r="43" ht="62" customHeight="1">
      <x:c r="A43" s="64" t="str">
        <x:v>Docker / Linux</x:v>
      </x:c>
      <x:c r="B43" s="64"/>
      <x:c r="C43" s="64" t="str">
        <x:v>当前源码 Linux arm64 完整 Vue+Canvas embed 运行包；PG18.1/Redis8.4/Prometheus3.5。120次HTTP计数守恒、25次401、鉴权、停源Unknown/恢复和重启通过；测试镜像非正式发布Dockerfile。</x:v>
      </x:c>
      <x:c r="D43" s="64"/>
      <x:c r="E43" s="64"/>
      <x:c r="F43" s="64"/>
      <x:c r="G43" s="64"/>
      <x:c r="H43" s="64"/>
    </x:row>
    <x:row r="44" ht="62" customHeight="1">
      <x:c r="A44" s="68" t="str">
        <x:v>Kubernetes</x:v>
      </x:c>
      <x:c r="B44" s="68"/>
      <x:c r="C44" s="68" t="str">
        <x:v>独立k3s 1.35.5与kind 1.35.8实测：有效Limit、1→3副本、90请求守恒、UID隔离、Events与CrashLoop触发/失联保持/恢复解除均通过；OOMKilled/重启可见，但本机cAdvisor OOM计数器未增长，不能宣称精确OOM次数验证通过。</x:v>
      </x:c>
      <x:c r="D44" s="68"/>
      <x:c r="E44" s="68"/>
      <x:c r="F44" s="68"/>
      <x:c r="G44" s="68"/>
      <x:c r="H44" s="68"/>
    </x:row>
    <x:row r="45" ht="62" customHeight="1">
      <x:c r="A45" s="64" t="str">
        <x:v>数据库 / 通知 / 日志</x:v>
      </x:c>
      <x:c r="B45" s="64"/>
      <x:c r="C45" s="64" t="str">
        <x:v>真实PG结算/核对/隔离与Redis Cluster容量复验；真实本地SMTP、TLS Webhook、独立Alertmanager/watchdog；Loki跨实例request_id及源文件删除后查询通过。</x:v>
      </x:c>
      <x:c r="D45" s="64"/>
      <x:c r="E45" s="64"/>
      <x:c r="F45" s="64"/>
      <x:c r="G45" s="64"/>
      <x:c r="H45" s="64"/>
    </x:row>
    <x:row r="46" ht="62" customHeight="1">
      <x:c r="A46" s="68" t="str">
        <x:v>长期存储 / 性能</x:v>
      </x:c>
      <x:c r="B46" s="68"/>
      <x:c r="C46" s="68" t="str">
        <x:v>真实TSDB→对象存储→Store→Query、31d保留清理及5m/1h降采样通过。31天254万样本：7d p95&lt;0.6s，部分30d查询约3–4s，未达本地2s参考值；生产SLO待约定。</x:v>
      </x:c>
      <x:c r="D46" s="68"/>
      <x:c r="E46" s="68"/>
      <x:c r="F46" s="68"/>
      <x:c r="G46" s="68"/>
      <x:c r="H46" s="68"/>
    </x:row>
    <x:row r="47" ht="62" customHeight="1">
      <x:c r="A47" s="64" t="str">
        <x:v>目标环境待签收</x:v>
      </x:c>
      <x:c r="B47" s="64"/>
      <x:c r="C47" s="64" t="str">
        <x:v>客户Linux独立主机、托管K8s/云数据库、真实AI上游与公网通知、容量SLO、生产灰度及回滚尚未签收。表中保留原验收标准，并逐项列出现场工作。</x:v>
      </x:c>
      <x:c r="D47" s="64"/>
      <x:c r="E47" s="64"/>
      <x:c r="F47" s="64"/>
      <x:c r="G47" s="64"/>
      <x:c r="H47" s="64"/>
    </x:row>
    <x:row r="48" ht="62" customHeight="1">
      <x:c r="A48" s="68" t="str">
        <x:v>证据索引</x:v>
      </x:c>
      <x:c r="B48" s="68"/>
      <x:c r="C48" s="68" t="str">
        <x:v>需求核对表与代码审查报告已同步；测试证据位于 outputs/cluster-monitoring-review-20261023/test-evidence/ 与 deploy/monitoring/evidence/。旧缺陷复现保留为历史，不计作当前通过。</x:v>
      </x:c>
      <x:c r="D48" s="68"/>
      <x:c r="E48" s="68"/>
      <x:c r="F48" s="68"/>
      <x:c r="G48" s="68"/>
      <x:c r="H48" s="68"/>
    </x:row>
  </x:sheetData>
  <x:mergeCells>
    <x:mergeCell ref="A20:H20"/>
    <x:mergeCell ref="A21:H21"/>
    <x:mergeCell ref="A22:H22"/>
    <x:mergeCell ref="A1:H2"/>
    <x:mergeCell ref="A3:H3"/>
    <x:mergeCell ref="A16:H16"/>
    <x:mergeCell ref="A18:H18"/>
    <x:mergeCell ref="A19:H19"/>
    <x:mergeCell ref="A24:H24"/>
    <x:mergeCell ref="C25:H25"/>
    <x:mergeCell ref="C26:H26"/>
    <x:mergeCell ref="C27:H27"/>
    <x:mergeCell ref="C28:H28"/>
    <x:mergeCell ref="C29:H29"/>
    <x:mergeCell ref="C30:H30"/>
    <x:mergeCell ref="C31:H31"/>
    <x:mergeCell ref="C32:H32"/>
    <x:mergeCell ref="A34:H34"/>
    <x:mergeCell ref="A35:B35"/>
    <x:mergeCell ref="C35:H35"/>
    <x:mergeCell ref="A36:B36"/>
    <x:mergeCell ref="C36:H36"/>
    <x:mergeCell ref="A37:B37"/>
    <x:mergeCell ref="C37:H37"/>
    <x:mergeCell ref="A38:B38"/>
    <x:mergeCell ref="C38:H38"/>
    <x:mergeCell ref="A39:B39"/>
    <x:mergeCell ref="C39:H39"/>
    <x:mergeCell ref="A40:B40"/>
    <x:mergeCell ref="C40:H40"/>
    <x:mergeCell ref="A42:H42"/>
    <x:mergeCell ref="A43:B43"/>
    <x:mergeCell ref="C43:H43"/>
    <x:mergeCell ref="A44:B44"/>
    <x:mergeCell ref="C44:H44"/>
    <x:mergeCell ref="A45:B45"/>
    <x:mergeCell ref="C45:H45"/>
    <x:mergeCell ref="A46:B46"/>
    <x:mergeCell ref="C46:H46"/>
    <x:mergeCell ref="A47:B47"/>
    <x:mergeCell ref="C47:H47"/>
    <x:mergeCell ref="A48:B48"/>
    <x:mergeCell ref="C48:H4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4" ySplit="5" topLeftCell="E6" activePane="bottomRight" state="frozen"/>
    </x:sheetView>
  </x:sheetViews>
  <x:sheetFormatPr defaultRowHeight="14.25"/>
  <x:cols>
    <x:col min="1" max="1" width="13" customWidth="1"/>
    <x:col min="2" max="2" width="11" customWidth="1"/>
    <x:col min="3" max="3" width="15" customWidth="1"/>
    <x:col min="4" max="4" width="33" customWidth="1"/>
    <x:col min="5" max="5" width="19" hidden="0" customWidth="1"/>
    <x:col min="6" max="6" width="62" customWidth="1"/>
    <x:col min="7" max="7" width="72" customWidth="1"/>
    <x:col min="8" max="8" width="55" customWidth="1"/>
    <x:col min="9" max="9" width="14" customWidth="1"/>
    <x:col min="10" max="10" width="64" hidden="0" customWidth="1"/>
    <x:col min="11" max="11" width="16" customWidth="1"/>
    <x:col min="12" max="12" width="18" hidden="0" customWidth="1"/>
    <x:col min="13" max="13" width="57" hidden="0" customWidth="1"/>
    <x:col min="14" max="14" width="39" hidden="0" customWidth="1"/>
    <x:col min="15" max="15" width="57" hidden="0" customWidth="1"/>
    <x:col min="16" max="16" width="57" hidden="0" customWidth="1"/>
  </x:cols>
  <x:sheetData>
    <x:row r="1" ht="24.950000762939453" customHeight="1">
      <x:c r="A1" s="32" t="s">
        <x:v>25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</x:row>
    <x:row r="2" ht="24.950000762939453" customHeight="1">
      <x:c r="A2" s="32"/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</x:row>
    <x:row r="3" ht="36" customHeight="1">
      <x:c r="A3" s="28" t="str">
        <x:v>2026-10-23 实现补齐与复验｜6b5035a29ad3 + 当前工作区｜32项原需求、验收标准和原定测试保留。</x:v>
      </x:c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</x:row>
    <x:row r="4" ht="26.100000381469727" customHeight="1">
      <x:c r="A4" s="33" t="str">
        <x:v>31项代码完成；REL-01为目标环境发布签收。L列仅统计本地验证：28通过、4部分通过；具体限制见O/P列，客户整项验收另行签收。</x:v>
      </x:c>
      <x:c r="B4" s="33"/>
      <x:c r="C4" s="33"/>
      <x:c r="D4" s="33"/>
      <x:c r="E4" s="33"/>
      <x:c r="F4" s="33"/>
      <x:c r="G4" s="33"/>
      <x:c r="H4" s="33"/>
      <x:c r="I4" s="33"/>
      <x:c r="J4" s="33"/>
      <x:c r="K4" s="33"/>
      <x:c r="L4" s="33"/>
    </x:row>
    <x:row r="5" ht="33" customHeight="1">
      <x:c r="A5" s="41" t="s">
        <x:v>26</x:v>
      </x:c>
      <x:c r="B5" s="41" t="s">
        <x:v>27</x:v>
      </x:c>
      <x:c r="C5" s="41" t="s">
        <x:v>28</x:v>
      </x:c>
      <x:c r="D5" s="41" t="s">
        <x:v>29</x:v>
      </x:c>
      <x:c r="E5" s="41" t="str">
        <x:v>代码完成状态</x:v>
      </x:c>
      <x:c r="F5" s="41" t="s">
        <x:v>30</x:v>
      </x:c>
      <x:c r="G5" s="41" t="s">
        <x:v>31</x:v>
      </x:c>
      <x:c r="H5" s="41" t="str">
        <x:v>原定验收测试</x:v>
      </x:c>
      <x:c r="I5" s="41" t="s">
        <x:v>32</x:v>
      </x:c>
      <x:c r="J5" s="41" t="str">
        <x:v>当前实现代码证据</x:v>
      </x:c>
      <x:c r="K5" s="41" t="s">
        <x:v>33</x:v>
      </x:c>
      <x:c r="L5" s="41" t="str">
        <x:v>本地验证结果</x:v>
      </x:c>
      <x:c r="M5" s="41" t="str">
        <x:v>已完成内容</x:v>
      </x:c>
      <x:c r="N5" s="41" t="str">
        <x:v>剩余实施 / 发布任务</x:v>
      </x:c>
      <x:c r="O5" s="41" t="str">
        <x:v>待确认 / 现场验收</x:v>
      </x:c>
      <x:c r="P5" s="41" t="str">
        <x:v>本轮测试证据与限制</x:v>
      </x:c>
    </x:row>
    <x:row r="6" ht="114" customHeight="1">
      <x:c r="A6" s="4" t="s">
        <x:v>34</x:v>
      </x:c>
      <x:c r="B6" s="5" t="s">
        <x:v>35</x:v>
      </x:c>
      <x:c r="C6" s="3" t="s">
        <x:v>36</x:v>
      </x:c>
      <x:c r="D6" s="3" t="s">
        <x:v>37</x:v>
      </x:c>
      <x:c r="E6" s="70" t="str">
        <x:v>已完成（代码）</x:v>
      </x:c>
      <x:c r="F6" s="3" t="s">
        <x:v>38</x:v>
      </x:c>
      <x:c r="G6" s="3" t="s">
        <x:v>39</x:v>
      </x:c>
      <x:c r="H6" s="3" t="s">
        <x:v>40</x:v>
      </x:c>
      <x:c r="I6" s="8" t="s">
        <x:v>8</x:v>
      </x:c>
      <x:c r="J6" s="42" t="str">
        <x:v>backend/internal/config/ops_monitoring.go
backend/internal/web/embed_on.go</x:v>
      </x:c>
      <x:c r="K6" s="43"/>
      <x:c r="L6" s="72" t="str">
        <x:v>本地通过</x:v>
      </x:c>
      <x:c r="M6" s="42" t="str">
        <x:v>自动识别单实例/Kubernetes；未配置 Prometheus 时保留原 Ops，K8s 专有项明确不适用。修复正式 embed 包吞掉 /metrics/instance 的路由问题。</x:v>
      </x:c>
      <x:c r="N6" s="42" t="str">
        <x:v>无已知待实现软件项；环境与交付边界见右侧。</x:v>
      </x:c>
      <x:c r="O6" s="42" t="str">
        <x:v>客户目标部署版本、真实业务流量和通知配置需现场签收；本地证据不代表生产已经部署。</x:v>
      </x:c>
      <x:c r="P6" s="42" t="str">
        <x:v>Docker embed 运行包：初始化/登录、模式识别、原 Ops、Pod N/A 与鉴权实测；独立 K8s 证据见环境矩阵。</x:v>
      </x:c>
    </x:row>
    <x:row r="7" ht="114" customHeight="1">
      <x:c r="A7" s="4" t="s">
        <x:v>41</x:v>
      </x:c>
      <x:c r="B7" s="5" t="s">
        <x:v>35</x:v>
      </x:c>
      <x:c r="C7" s="3" t="s">
        <x:v>42</x:v>
      </x:c>
      <x:c r="D7" s="3" t="s">
        <x:v>43</x:v>
      </x:c>
      <x:c r="E7" s="70" t="str">
        <x:v>已完成（代码）</x:v>
      </x:c>
      <x:c r="F7" s="3" t="s">
        <x:v>44</x:v>
      </x:c>
      <x:c r="G7" s="3" t="s">
        <x:v>45</x:v>
      </x:c>
      <x:c r="H7" s="3" t="s">
        <x:v>46</x:v>
      </x:c>
      <x:c r="I7" s="8" t="s">
        <x:v>8</x:v>
      </x:c>
      <x:c r="J7" s="42" t="str">
        <x:v>backend/internal/service/ops_monitoring_limits.go
backend/internal/service/ops_monitoring_promql.go
backend/migrations/277_ops_kubernetes_resource_contract.sql</x:v>
      </x:c>
      <x:c r="K7" s="43"/>
      <x:c r="L7" s="72" t="str">
        <x:v>本地通过</x:v>
      </x:c>
      <x:c r="M7" s="42" t="str">
        <x:v>完成普通容器、init、常驻 sidecar、Pod-level、overhead、已生效 resize 的 Limit 采样；UID/新鲜度隔离，无上限为 NotApplicable，未知不补零。</x:v>
      </x:c>
      <x:c r="N7" s="42" t="str">
        <x:v>无已知待实现软件项；环境与交付边界见右侧。</x:v>
      </x:c>
      <x:c r="O7" s="42" t="str">
        <x:v>托管K8s启用只读Pods采样；目标版本resize和scheduler/exporter标签对账。</x:v>
      </x:c>
      <x:c r="P7" s="42" t="str">
        <x:v>官方引擎与资源计算回归；k3s 实测 .25核、init+sidecar .6核、Pod-level1.2核及无限额；历史/UID按证据记录。</x:v>
      </x:c>
    </x:row>
    <x:row r="8" ht="114" customHeight="1">
      <x:c r="A8" s="4" t="s">
        <x:v>47</x:v>
      </x:c>
      <x:c r="B8" s="5" t="s">
        <x:v>35</x:v>
      </x:c>
      <x:c r="C8" s="3" t="s">
        <x:v>42</x:v>
      </x:c>
      <x:c r="D8" s="3" t="s">
        <x:v>48</x:v>
      </x:c>
      <x:c r="E8" s="70" t="str">
        <x:v>已完成（代码）</x:v>
      </x:c>
      <x:c r="F8" s="3" t="s">
        <x:v>49</x:v>
      </x:c>
      <x:c r="G8" s="3" t="s">
        <x:v>50</x:v>
      </x:c>
      <x:c r="H8" s="3" t="s">
        <x:v>51</x:v>
      </x:c>
      <x:c r="I8" s="8" t="s">
        <x:v>8</x:v>
      </x:c>
      <x:c r="J8" s="42" t="str">
        <x:v>backend/internal/service/ops_monitoring_limits.go
backend/internal/service/ops_monitoring_promql.go</x:v>
      </x:c>
      <x:c r="K8" s="43"/>
      <x:c r="L8" s="72" t="str">
        <x:v>本地通过</x:v>
      </x:c>
      <x:c r="M8" s="42" t="str">
        <x:v>working set、MiB/bytes、完整有效内存 Limit、使用百分比及历史；复用完整 Pod 资源契约，未设置上限和未知分别显示。</x:v>
      </x:c>
      <x:c r="N8" s="42" t="str">
        <x:v>无已知待实现软件项；环境与交付边界见右侧。</x:v>
      </x:c>
      <x:c r="O8" s="42" t="str">
        <x:v>目标环境多容器/真实内存压力与滚动升级现场签收。</x:v>
      </x:c>
      <x:c r="P8" s="42" t="str">
        <x:v>真实 K8s 64Mi、init+sidecar128Mi、Pod-level256Mi、working set、OOMKilled 与新旧 UID 测试。</x:v>
      </x:c>
    </x:row>
    <x:row r="9" ht="114" customHeight="1">
      <x:c r="A9" s="4" t="s">
        <x:v>52</x:v>
      </x:c>
      <x:c r="B9" s="5" t="s">
        <x:v>35</x:v>
      </x:c>
      <x:c r="C9" s="3" t="s">
        <x:v>53</x:v>
      </x:c>
      <x:c r="D9" s="3" t="s">
        <x:v>54</x:v>
      </x:c>
      <x:c r="E9" s="70" t="str">
        <x:v>已完成（代码）</x:v>
      </x:c>
      <x:c r="F9" s="3" t="s">
        <x:v>55</x:v>
      </x:c>
      <x:c r="G9" s="3" t="s">
        <x:v>56</x:v>
      </x:c>
      <x:c r="H9" s="3" t="s">
        <x:v>57</x:v>
      </x:c>
      <x:c r="I9" s="8" t="s">
        <x:v>8</x:v>
      </x:c>
      <x:c r="J9" s="42" t="str">
        <x:v>backend/internal/pkg/httpmetrics/registry.go
backend/internal/service/ops_monitoring_promql.go</x:v>
      </x:c>
      <x:c r="K9" s="43"/>
      <x:c r="L9" s="72" t="str">
        <x:v>本地通过</x:v>
      </x:c>
      <x:c r="M9" s="42" t="str">
        <x:v>逐实例入站/完成 Counter；rate/increase 后按 Service 汇总 QPS/RPM。新增 nginx 与 normalized 外部入口适配，来源分开查询。</x:v>
      </x:c>
      <x:c r="N9" s="42" t="str">
        <x:v>无已知待实现软件项；环境与交付边界见右侧。</x:v>
      </x:c>
      <x:c r="O9" s="42" t="str">
        <x:v>实际Ingress/LB需配置nginx或normalized exporter；云厂商专有指标需按固定契约归一化，不能凭空生成维度。</x:v>
      </x:c>
      <x:c r="P9" s="42" t="str">
        <x:v>120 次真实 HTTP Counter/Histogram 守恒、API与直接 PromQL 对账；K8s 三 Pod 分布与总量另见证据。</x:v>
      </x:c>
    </x:row>
    <x:row r="10" ht="114" customHeight="1">
      <x:c r="A10" s="4" t="s">
        <x:v>58</x:v>
      </x:c>
      <x:c r="B10" s="5" t="s">
        <x:v>35</x:v>
      </x:c>
      <x:c r="C10" s="3" t="s">
        <x:v>53</x:v>
      </x:c>
      <x:c r="D10" s="3" t="s">
        <x:v>59</x:v>
      </x:c>
      <x:c r="E10" s="70" t="str">
        <x:v>已完成（代码）</x:v>
      </x:c>
      <x:c r="F10" s="3" t="s">
        <x:v>60</x:v>
      </x:c>
      <x:c r="G10" s="3" t="s">
        <x:v>61</x:v>
      </x:c>
      <x:c r="H10" s="3" t="s">
        <x:v>62</x:v>
      </x:c>
      <x:c r="I10" s="8" t="s">
        <x:v>8</x:v>
      </x:c>
      <x:c r="J10" s="42" t="str">
        <x:v>backend/internal/service/ops_stream_first_output.go
backend/internal/handler/ops_ttft_protocol_test.go
backend/internal/server/middleware/logger.go</x:v>
      </x:c>
      <x:c r="K10" s="43"/>
      <x:c r="L10" s="72" t="str">
        <x:v>本地通过</x:v>
      </x:c>
      <x:c r="M10" s="42" t="str">
        <x:v>统一各真实协议 Handler 的成功 TTFT 写入；补 CC/Anthropic/Gemini 元数据排除、工具/推理首输出；HTTP/SSE 总耗时与 TTFT 分别聚合，新增协议/路由筛选。</x:v>
      </x:c>
      <x:c r="N10" s="42" t="str">
        <x:v>无已知待实现软件项；环境与交付边界见右侧。</x:v>
      </x:c>
      <x:c r="O10" s="42" t="str">
        <x:v>客户实际AI上游、SSE/WS流量规模下的误差与阈值签收；保留原Responses首输出模式配置。</x:v>
      </x:c>
      <x:c r="P10" s="42" t="str">
        <x:v>真实协议 Handler + 转发解析回归；CC/Anthropic 延迟120ms输出实测、metadata-only 无 TTFT；Responses 原 semantic/visible 回归。</x:v>
      </x:c>
    </x:row>
    <x:row r="11" ht="114" customHeight="1">
      <x:c r="A11" s="4" t="s">
        <x:v>63</x:v>
      </x:c>
      <x:c r="B11" s="5" t="s">
        <x:v>35</x:v>
      </x:c>
      <x:c r="C11" s="3" t="s">
        <x:v>64</x:v>
      </x:c>
      <x:c r="D11" s="3" t="s">
        <x:v>65</x:v>
      </x:c>
      <x:c r="E11" s="70" t="str">
        <x:v>已完成（代码）</x:v>
      </x:c>
      <x:c r="F11" s="3" t="s">
        <x:v>66</x:v>
      </x:c>
      <x:c r="G11" s="3" t="s">
        <x:v>67</x:v>
      </x:c>
      <x:c r="H11" s="3" t="s">
        <x:v>68</x:v>
      </x:c>
      <x:c r="I11" s="8" t="s">
        <x:v>8</x:v>
      </x:c>
      <x:c r="J11" s="42" t="str">
        <x:v>backend/internal/service/ops_monitoring_promql.go
frontend/src/views/admin/ops/monitoringFilters.ts</x:v>
      </x:c>
      <x:c r="K11" s="43"/>
      <x:c r="L11" s="72" t="str">
        <x:v>本地通过</x:v>
      </x:c>
      <x:c r="M11" s="42" t="str">
        <x:v>应用、应用入口拒绝、外部代理三来源分离；4xx/5xx/429 数量/率、429 排除、精确 HTTP 状态码下钻及 nginx/normalized adapter。</x:v>
      </x:c>
      <x:c r="N11" s="42" t="str">
        <x:v>无已知待实现软件项；环境与交付边界见右侧。</x:v>
      </x:c>
      <x:c r="O11" s="42" t="str">
        <x:v>实际代理自身502/504、429来源对账；相同请求不同层可能重叠，不相加为总量。</x:v>
      </x:c>
      <x:c r="P11" s="42" t="str">
        <x:v>真实401入口错误/分类查询；固定PromQL引擎覆盖外部nginx、来源隔离和status标签；非法组合拒绝。</x:v>
      </x:c>
    </x:row>
    <x:row r="12" ht="114" customHeight="1">
      <x:c r="A12" s="4" t="s">
        <x:v>69</x:v>
      </x:c>
      <x:c r="B12" s="5" t="s">
        <x:v>35</x:v>
      </x:c>
      <x:c r="C12" s="3" t="s">
        <x:v>70</x:v>
      </x:c>
      <x:c r="D12" s="3" t="s">
        <x:v>71</x:v>
      </x:c>
      <x:c r="E12" s="70" t="str">
        <x:v>已完成（代码）</x:v>
      </x:c>
      <x:c r="F12" s="3" t="s">
        <x:v>72</x:v>
      </x:c>
      <x:c r="G12" s="3" t="s">
        <x:v>73</x:v>
      </x:c>
      <x:c r="H12" s="3" t="s">
        <x:v>74</x:v>
      </x:c>
      <x:c r="I12" s="8" t="s">
        <x:v>8</x:v>
      </x:c>
      <x:c r="J12" s="42" t="str">
        <x:v>backend/internal/pkg/httpmetrics/registry.go
backend/internal/server/routes/metrics.go
backend/internal/web/embed_on.go</x:v>
      </x:c>
      <x:c r="K12" s="43"/>
      <x:c r="L12" s="72" t="str">
        <x:v>本地通过</x:v>
      </x:c>
      <x:c r="M12" s="42" t="str">
        <x:v>低基数实例 Counter/Histogram、入站/完成区分、探针排除；修复跨协议 TTFT 漏采及 embed 实例抓取路由，保持 token 鉴权。</x:v>
      </x:c>
      <x:c r="N12" s="42" t="str">
        <x:v>无已知待实现软件项；环境与交付边界见右侧。</x:v>
      </x:c>
      <x:c r="O12" s="42" t="str">
        <x:v>客户目标部署版本、真实业务流量和通知配置需现场签收；本地证据不代表生产已经部署。</x:v>
      </x:c>
      <x:c r="P12" s="42" t="str">
        <x:v>token拒绝、实例抓取、探针排除、重启 Counter 重置；embed 路由与协议 Handler 回归。</x:v>
      </x:c>
    </x:row>
    <x:row r="13" ht="114" customHeight="1">
      <x:c r="A13" s="4" t="s">
        <x:v>75</x:v>
      </x:c>
      <x:c r="B13" s="5" t="s">
        <x:v>35</x:v>
      </x:c>
      <x:c r="C13" s="3" t="s">
        <x:v>76</x:v>
      </x:c>
      <x:c r="D13" s="3" t="s">
        <x:v>77</x:v>
      </x:c>
      <x:c r="E13" s="70" t="str">
        <x:v>已完成（代码）</x:v>
      </x:c>
      <x:c r="F13" s="3" t="s">
        <x:v>78</x:v>
      </x:c>
      <x:c r="G13" s="3" t="s">
        <x:v>79</x:v>
      </x:c>
      <x:c r="H13" s="3" t="s">
        <x:v>80</x:v>
      </x:c>
      <x:c r="I13" s="8" t="s">
        <x:v>8</x:v>
      </x:c>
      <x:c r="J13" s="42" t="str">
        <x:v>backend/internal/service/ops_cluster_metrics.go
frontend/src/views/admin/ops/OpsDashboard.vue</x:v>
      </x:c>
      <x:c r="K13" s="43"/>
      <x:c r="L13" s="72" t="str">
        <x:v>本地通过</x:v>
      </x:c>
      <x:c r="M13" s="42" t="str">
        <x:v>原 PG/Redis Ops API/UI、健康、应用池及历史保留；实例容量与应用池分列，无云 SDK 依赖。</x:v>
      </x:c>
      <x:c r="N13" s="42" t="str">
        <x:v>无已知待实现软件项；环境与交付边界见右侧。</x:v>
      </x:c>
      <x:c r="O13" s="42" t="str">
        <x:v>客户目标部署版本、真实业务流量和通知配置需现场签收；本地证据不代表生产已经部署。</x:v>
      </x:c>
      <x:c r="P13" s="42" t="str">
        <x:v>真实PG18.1/Redis8.4健康与旧Ops；完整相关后端/前端回归，保留单实例降级。</x:v>
      </x:c>
    </x:row>
    <x:row r="14" ht="114" customHeight="1">
      <x:c r="A14" s="4" t="s">
        <x:v>81</x:v>
      </x:c>
      <x:c r="B14" s="5" t="s">
        <x:v>35</x:v>
      </x:c>
      <x:c r="C14" s="3" t="s">
        <x:v>82</x:v>
      </x:c>
      <x:c r="D14" s="3" t="s">
        <x:v>83</x:v>
      </x:c>
      <x:c r="E14" s="70" t="str">
        <x:v>已完成（代码）</x:v>
      </x:c>
      <x:c r="F14" s="3" t="s">
        <x:v>84</x:v>
      </x:c>
      <x:c r="G14" s="3" t="s">
        <x:v>85</x:v>
      </x:c>
      <x:c r="H14" s="3" t="s">
        <x:v>86</x:v>
      </x:c>
      <x:c r="I14" s="8" t="s">
        <x:v>8</x:v>
      </x:c>
      <x:c r="J14" s="42" t="str">
        <x:v>backend/internal/repository/ops_billing_operations.go
backend/internal/repository/ops_billing_reconciliation.go
backend/migrations/278_ops_billing_operations.sql
backend/migrations/280_ops_account_projection_isolation.sql</x:v>
      </x:c>
      <x:c r="K14" s="43"/>
      <x:c r="L14" s="72" t="str">
        <x:v>本地通过</x:v>
      </x:c>
      <x:c r="M14" s="42" t="str">
        <x:v>统一扣费及批图 reserve/capture/release 的独立失败意图、持久证据核对队列、人工处理审计、Usage Log 对账；账户原行固定累计差额与后台账本核对隔离，观察缺口持久化为 Unknown。</x:v>
      </x:c>
      <x:c r="N14" s="42" t="str">
        <x:v>无已知待实现软件项；环境与交付边界见右侧。</x:v>
      </x:c>
      <x:c r="O14" s="42" t="str">
        <x:v>迁移280改用固定大小账户差额投影，后台为汇总账本核对，不宣称每笔全审计；物理删除或监控缺口保持Unknown，目标规模迁移/写入性能需验收。</x:v>
      </x:c>
      <x:c r="P14" s="42" t="str">
        <x:v>最终真实PG 15项全通过；观测表锁定/400ms慢写下，业务在Go与SQL 100ms期限内仍提交；含重复、补偿队列、窗口重置、冻结/扣费/释放、Unknown及缺口确认。</x:v>
      </x:c>
    </x:row>
    <x:row r="15" ht="114" customHeight="1">
      <x:c r="A15" s="4" t="s">
        <x:v>87</x:v>
      </x:c>
      <x:c r="B15" s="5" t="s">
        <x:v>35</x:v>
      </x:c>
      <x:c r="C15" s="3" t="s">
        <x:v>88</x:v>
      </x:c>
      <x:c r="D15" s="3" t="s">
        <x:v>89</x:v>
      </x:c>
      <x:c r="E15" s="70" t="str">
        <x:v>已完成（代码）</x:v>
      </x:c>
      <x:c r="F15" s="3" t="s">
        <x:v>90</x:v>
      </x:c>
      <x:c r="G15" s="3" t="s">
        <x:v>91</x:v>
      </x:c>
      <x:c r="H15" s="3" t="s">
        <x:v>92</x:v>
      </x:c>
      <x:c r="I15" s="8" t="s">
        <x:v>8</x:v>
      </x:c>
      <x:c r="J15" s="42" t="str">
        <x:v>deploy/monitoring/
deploy/prometheus.monitoring.rules.yml
backend/internal/service/ops_monitoring_heartbeat.go</x:v>
      </x:c>
      <x:c r="K15" s="43"/>
      <x:c r="L15" s="72" t="str">
        <x:v>本地通过</x:v>
      </x:c>
      <x:c r="M15" s="42" t="str">
        <x:v>成功心跳、数据源 Unknown、独立 Prometheus/Alertmanager/watchdog 接收栈；断链检测、接收记录持久化及财务观察缺口独立规则。</x:v>
      </x:c>
      <x:c r="N15" s="42" t="str">
        <x:v>无已知待实现软件项；环境与交付边界见右侧。</x:v>
      </x:c>
      <x:c r="O15" s="42" t="str">
        <x:v>生产watchdog接收端须位于被监控系统之外；本机独立容器不能覆盖整台宿主机断电。</x:v>
      </x:c>
      <x:c r="P15" s="42" t="str">
        <x:v>真实独立栈：告警POST、鉴权、重启保留记录、整条监控停止后503；缺口规则Promtool3场景通过。</x:v>
      </x:c>
    </x:row>
    <x:row r="16" ht="114" customHeight="1">
      <x:c r="A16" s="4" t="s">
        <x:v>93</x:v>
      </x:c>
      <x:c r="B16" s="5" t="s">
        <x:v>35</x:v>
      </x:c>
      <x:c r="C16" s="3" t="s">
        <x:v>94</x:v>
      </x:c>
      <x:c r="D16" s="3" t="s">
        <x:v>95</x:v>
      </x:c>
      <x:c r="E16" s="70" t="str">
        <x:v>已完成（代码）</x:v>
      </x:c>
      <x:c r="F16" s="3" t="s">
        <x:v>96</x:v>
      </x:c>
      <x:c r="G16" s="3" t="s">
        <x:v>97</x:v>
      </x:c>
      <x:c r="H16" s="3" t="s">
        <x:v>98</x:v>
      </x:c>
      <x:c r="I16" s="8" t="s">
        <x:v>14</x:v>
      </x:c>
      <x:c r="J16" s="42" t="str">
        <x:v>backend/internal/service/ops_alert_resource_evaluator.go
backend/internal/service/ops_alert_delivery_service.go
backend/internal/repository/ops_repo_alert_deliveries.go
docs/CLUSTER_ALERT_SEMANTICS.md</x:v>
      </x:c>
      <x:c r="K16" s="43"/>
      <x:c r="L16" s="72" t="str">
        <x:v>本地通过</x:v>
      </x:c>
      <x:c r="M16" s="42" t="str">
        <x:v>规则完整 CRUD 与窗口/持续/冷却/资源/通知目标；严格校验可支持维度，历史不支持规则显示 invalid_rule；规则 revision 隔离配置变更，不误当故障恢复。</x:v>
      </x:c>
      <x:c r="N16" s="42" t="str">
        <x:v>无已知待实现软件项；环境与交付边界见右侧。</x:v>
      </x:c>
      <x:c r="O16" s="42" t="str">
        <x:v>客户目标部署版本、真实业务流量和通知配置需现场签收；本地证据不代表生产已经部署。</x:v>
      </x:c>
      <x:c r="P16" s="42" t="str">
        <x:v>服务端过滤验证、历史invalid_rule、真实PG revision/窗口/状态原子性与编辑器测试。</x:v>
      </x:c>
    </x:row>
    <x:row r="17" ht="114" customHeight="1">
      <x:c r="A17" s="4" t="s">
        <x:v>99</x:v>
      </x:c>
      <x:c r="B17" s="5" t="s">
        <x:v>35</x:v>
      </x:c>
      <x:c r="C17" s="3" t="s">
        <x:v>100</x:v>
      </x:c>
      <x:c r="D17" s="3" t="s">
        <x:v>101</x:v>
      </x:c>
      <x:c r="E17" s="70" t="str">
        <x:v>已完成（代码）</x:v>
      </x:c>
      <x:c r="F17" s="3" t="s">
        <x:v>102</x:v>
      </x:c>
      <x:c r="G17" s="3" t="s">
        <x:v>103</x:v>
      </x:c>
      <x:c r="H17" s="3" t="s">
        <x:v>104</x:v>
      </x:c>
      <x:c r="I17" s="8" t="s">
        <x:v>14</x:v>
      </x:c>
      <x:c r="J17" s="42" t="str">
        <x:v>backend/internal/service/ops_alert_resource_evaluator.go
backend/internal/service/ops_alert_delivery_service.go
backend/internal/repository/ops_repo_alert_deliveries.go
docs/CLUSTER_ALERT_SEMANTICS.md</x:v>
      </x:c>
      <x:c r="K17" s="43"/>
      <x:c r="L17" s="72" t="str">
        <x:v>本地通过</x:v>
      </x:c>
      <x:c r="M17" s="42" t="str">
        <x:v>P95/P99 与 TTFT P95/P99 规则、持续阈值、升级恢复；TTFT 自身有效样本门槛与完整协议采样。</x:v>
      </x:c>
      <x:c r="N17" s="42" t="str">
        <x:v>无已知待实现软件项；环境与交付边界见右侧。</x:v>
      </x:c>
      <x:c r="O17" s="42" t="str">
        <x:v>客户目标部署版本、真实业务流量和通知配置需现场签收；本地证据不代表生产已经部署。</x:v>
      </x:c>
      <x:c r="P17" s="42" t="str">
        <x:v>实际协议TTFT+HTTP Histogram；延迟规则、门槛与状态转换回归；K8s实际资源告警链路另记。</x:v>
      </x:c>
    </x:row>
    <x:row r="18" ht="114" customHeight="1">
      <x:c r="A18" s="4" t="s">
        <x:v>105</x:v>
      </x:c>
      <x:c r="B18" s="5" t="s">
        <x:v>35</x:v>
      </x:c>
      <x:c r="C18" s="3" t="s">
        <x:v>106</x:v>
      </x:c>
      <x:c r="D18" s="3" t="s">
        <x:v>107</x:v>
      </x:c>
      <x:c r="E18" s="70" t="str">
        <x:v>已完成（代码）</x:v>
      </x:c>
      <x:c r="F18" s="3" t="s">
        <x:v>108</x:v>
      </x:c>
      <x:c r="G18" s="3" t="s">
        <x:v>109</x:v>
      </x:c>
      <x:c r="H18" s="3" t="s">
        <x:v>110</x:v>
      </x:c>
      <x:c r="I18" s="8" t="s">
        <x:v>14</x:v>
      </x:c>
      <x:c r="J18" s="42" t="str">
        <x:v>backend/internal/service/ops_alert_resource_evaluator.go
backend/internal/service/ops_alert_delivery_service.go
backend/internal/repository/ops_repo_alert_deliveries.go
docs/CLUSTER_ALERT_SEMANTICS.md</x:v>
      </x:c>
      <x:c r="K18" s="43"/>
      <x:c r="L18" s="72" t="str">
        <x:v>本地通过</x:v>
      </x:c>
      <x:c r="M18" s="42" t="str">
        <x:v>入站 qps/rpm/request_count 使用同窗口入站请求数；完成与 TTFT 各用自身样本；低样本不触发、不误恢复并打断持续计时。</x:v>
      </x:c>
      <x:c r="N18" s="42" t="str">
        <x:v>无已知待实现软件项；环境与交付边界见右侧。</x:v>
      </x:c>
      <x:c r="O18" s="42" t="str">
        <x:v>客户目标部署版本、真实业务流量和通知配置需现场签收；本地证据不代表生产已经部署。</x:v>
      </x:c>
      <x:c r="P18" s="42" t="str">
        <x:v>入站/完成/TTFT 独立样本、低/高样本和恢复门槛边界测试。</x:v>
      </x:c>
    </x:row>
    <x:row r="19" ht="114" customHeight="1">
      <x:c r="A19" s="4" t="s">
        <x:v>111</x:v>
      </x:c>
      <x:c r="B19" s="5" t="s">
        <x:v>35</x:v>
      </x:c>
      <x:c r="C19" s="3" t="s">
        <x:v>112</x:v>
      </x:c>
      <x:c r="D19" s="3" t="s">
        <x:v>113</x:v>
      </x:c>
      <x:c r="E19" s="74" t="str">
        <x:v>部分完成</x:v>
      </x:c>
      <x:c r="F19" s="3" t="s">
        <x:v>114</x:v>
      </x:c>
      <x:c r="G19" s="3" t="s">
        <x:v>115</x:v>
      </x:c>
      <x:c r="H19" s="3" t="s">
        <x:v>116</x:v>
      </x:c>
      <x:c r="I19" s="8" t="s">
        <x:v>17</x:v>
      </x:c>
      <x:c r="J19" s="42" t="str">
        <x:v>deploy/tests/CLUSTER_MONITORING_KUBERNETES_ACCEPTANCE.md
deploy/tests/cluster-monitoring-local-test.sh
deploy/CLUSTER_MONITORING.md</x:v>
      </x:c>
      <x:c r="K19" s="43"/>
      <x:c r="L19" s="76" t="str">
        <x:v>部分通过</x:v>
      </x:c>
      <x:c r="M19" s="42" t="str">
        <x:v>提供可复验本地脚本、隔离 Docker/Linux 运行包、k3s/kind 标准 Kubernetes 验收工具及证据；客户部署环境完整发布与回滚签收单列。</x:v>
      </x:c>
      <x:c r="N19" s="42" t="str">
        <x:v>目标环境的完整发布、灰度/回滚与签收尚未完成。</x:v>
      </x:c>
      <x:c r="O19" s="42" t="str">
        <x:v>客户普通Linux独立主机、托管集群、生产灰度/完整业务回归和回滚需指定环境后签收；本机两种K8s不冒充客户云验收。</x:v>
      </x:c>
      <x:c r="P19" s="42" t="str">
        <x:v>本地软件、数据库、Docker/Linux、浏览器、TSDB和独立K8s复验已逐项归档；目标部署环境签收尚未执行。</x:v>
      </x:c>
    </x:row>
    <x:row r="20" ht="114" customHeight="1">
      <x:c r="A20" s="4" t="s">
        <x:v>117</x:v>
      </x:c>
      <x:c r="B20" s="6" t="s">
        <x:v>118</x:v>
      </x:c>
      <x:c r="C20" s="3" t="s">
        <x:v>119</x:v>
      </x:c>
      <x:c r="D20" s="3" t="s">
        <x:v>120</x:v>
      </x:c>
      <x:c r="E20" s="70" t="str">
        <x:v>已完成（代码）</x:v>
      </x:c>
      <x:c r="F20" s="3" t="s">
        <x:v>121</x:v>
      </x:c>
      <x:c r="G20" s="3" t="s">
        <x:v>122</x:v>
      </x:c>
      <x:c r="H20" s="3" t="s">
        <x:v>123</x:v>
      </x:c>
      <x:c r="I20" s="8" t="s">
        <x:v>11</x:v>
      </x:c>
      <x:c r="J20" s="42" t="str">
        <x:v>frontend/src/views/admin/ops/components/OpsMonitoringPanel.vue
deploy/monitoring/benchmark-history.py</x:v>
      </x:c>
      <x:c r="K20" s="43"/>
      <x:c r="L20" s="76" t="str">
        <x:v>部分通过</x:v>
      </x:c>
      <x:c r="M20" s="42" t="str">
        <x:v>15m 至 30d/自定义、双图游标、放大、阈值、同期对比、粒度、断线和明细；完成真实 31 天 TSDB 数据查询基线。</x:v>
      </x:c>
      <x:c r="N20" s="42" t="str">
        <x:v>无已知待实现软件项；环境与交付边界见右侧。</x:v>
      </x:c>
      <x:c r="O20" s="42" t="str">
        <x:v>生产并发/序列数及7d/30d响应SLO未约定；本地2s参考目标部分30d原始查询未达到。</x:v>
      </x:c>
      <x:c r="P20" s="42" t="str">
        <x:v>前端交互、时区、Query API限额回归；31天57序列254万样本，7d p95&lt;0.6s，30d部分查询约3~4s。</x:v>
      </x:c>
    </x:row>
    <x:row r="21" ht="114" customHeight="1">
      <x:c r="A21" s="4" t="s">
        <x:v>124</x:v>
      </x:c>
      <x:c r="B21" s="6" t="s">
        <x:v>118</x:v>
      </x:c>
      <x:c r="C21" s="3" t="s">
        <x:v>125</x:v>
      </x:c>
      <x:c r="D21" s="3" t="s">
        <x:v>126</x:v>
      </x:c>
      <x:c r="E21" s="70" t="str">
        <x:v>已完成（代码）</x:v>
      </x:c>
      <x:c r="F21" s="3" t="s">
        <x:v>127</x:v>
      </x:c>
      <x:c r="G21" s="3" t="s">
        <x:v>128</x:v>
      </x:c>
      <x:c r="H21" s="3" t="s">
        <x:v>129</x:v>
      </x:c>
      <x:c r="I21" s="8" t="s">
        <x:v>11</x:v>
      </x:c>
      <x:c r="J21" s="42" t="str">
        <x:v>frontend/src/views/admin/ops/components/OpsMonitoringPanel.vue
frontend/src/views/admin/ops/monitoringFilters.ts</x:v>
      </x:c>
      <x:c r="K21" s="43"/>
      <x:c r="L21" s="72" t="str">
        <x:v>本地通过</x:v>
      </x:c>
      <x:c r="M21" s="42" t="str">
        <x:v>资源层级、UID、时间区间和 HTTP 维度联动；自定义分享链接保存 UTC ISO，接收端本地显示，不再跨时区偏移。</x:v>
      </x:c>
      <x:c r="N21" s="42" t="str">
        <x:v>无已知待实现软件项；环境与交付边界见右侧。</x:v>
      </x:c>
      <x:c r="O21" s="42" t="str">
        <x:v>客户目标部署版本、真实业务流量和通知配置需现场签收；本地证据不代表生产已经部署。</x:v>
      </x:c>
      <x:c r="P21" s="42" t="str">
        <x:v>UTC/Asia-Taipei 链接回归；资源/HTTP维度测试；1440/390px 深浅主题浏览器实测，无页面横向溢出，键盘可到达筛选控件。</x:v>
      </x:c>
    </x:row>
    <x:row r="22" ht="114" customHeight="1">
      <x:c r="A22" s="4" t="s">
        <x:v>130</x:v>
      </x:c>
      <x:c r="B22" s="6" t="s">
        <x:v>118</x:v>
      </x:c>
      <x:c r="C22" s="3" t="s">
        <x:v>131</x:v>
      </x:c>
      <x:c r="D22" s="3" t="s">
        <x:v>132</x:v>
      </x:c>
      <x:c r="E22" s="70" t="str">
        <x:v>已完成（代码）</x:v>
      </x:c>
      <x:c r="F22" s="3" t="s">
        <x:v>133</x:v>
      </x:c>
      <x:c r="G22" s="3" t="s">
        <x:v>134</x:v>
      </x:c>
      <x:c r="H22" s="3" t="s">
        <x:v>135</x:v>
      </x:c>
      <x:c r="I22" s="8" t="s">
        <x:v>11</x:v>
      </x:c>
      <x:c r="J22" s="42" t="str">
        <x:v>backend/internal/service/ops_monitoring_events.go
backend/internal/service/ops_monitoring_promql.go</x:v>
      </x:c>
      <x:c r="K22" s="43"/>
      <x:c r="L22" s="76" t="str">
        <x:v>部分通过</x:v>
      </x:c>
      <x:c r="M22" s="42" t="str">
        <x:v>Pod Ready/Pending/CrashLoop/重启/OOM 状态和历史；新增 OOM Counter 窗口估算增量、多 cgroup 累加；归档对象 UID 与删除后 Events。</x:v>
      </x:c>
      <x:c r="N22" s="42" t="str">
        <x:v>无已知待实现软件项；环境与交付边界见右侧。</x:v>
      </x:c>
      <x:c r="O22" s="42" t="str">
        <x:v>OOM Counter为采样增量，允许边界外推/采样漏失，不是精确事件审计；依赖目标cAdvisor支持，Events和状态单列。</x:v>
      </x:c>
      <x:c r="P22" s="42" t="str">
        <x:v>24个官方引擎语义场景通过；真实K8s的OOMKilled/重启、CrashLoop恢复通过，但本机cAdvisor OOM Counter始终为0，该计数器实测未通过。</x:v>
      </x:c>
    </x:row>
    <x:row r="23" ht="114" customHeight="1">
      <x:c r="A23" s="4" t="s">
        <x:v>136</x:v>
      </x:c>
      <x:c r="B23" s="6" t="s">
        <x:v>118</x:v>
      </x:c>
      <x:c r="C23" s="3" t="s">
        <x:v>137</x:v>
      </x:c>
      <x:c r="D23" s="3" t="s">
        <x:v>138</x:v>
      </x:c>
      <x:c r="E23" s="70" t="str">
        <x:v>已完成（代码）</x:v>
      </x:c>
      <x:c r="F23" s="3" t="s">
        <x:v>139</x:v>
      </x:c>
      <x:c r="G23" s="3" t="s">
        <x:v>140</x:v>
      </x:c>
      <x:c r="H23" s="3" t="s">
        <x:v>141</x:v>
      </x:c>
      <x:c r="I23" s="8" t="s">
        <x:v>11</x:v>
      </x:c>
      <x:c r="J23" s="42" t="str">
        <x:v>deploy/logging/
deploy/tests/central-logs-test.py
frontend/src/views/admin/ops/components/OpsSystemLogTable.vue</x:v>
      </x:c>
      <x:c r="K23" s="43"/>
      <x:c r="L23" s="72" t="str">
        <x:v>本地通过</x:v>
      </x:c>
      <x:c r="M23" s="42" t="str">
        <x:v>保留 JSON stdout/shared DB 日志与访问日志落库开关，明确采集范围；提供 Loki+Fluent Bit Compose 与 Kubernetes 采集模板，并验证跨实例 request_id 及源日志删除后查询。</x:v>
      </x:c>
      <x:c r="N23" s="42" t="str">
        <x:v>无已知待实现软件项；环境与交付边界见右侧。</x:v>
      </x:c>
      <x:c r="O23" s="42" t="str">
        <x:v>客户选择并部署共享库访问日志策略或Loki模板，配置留存容量；本地模板不代表其生产日志已经接入。</x:v>
      </x:c>
      <x:c r="P23" s="42" t="str">
        <x:v>真实Loki/FluentBit接收两实例同request_id，源文件删除后仍返回两条；采集范围提示和已有日志脱敏回归。</x:v>
      </x:c>
    </x:row>
    <x:row r="24" ht="114" customHeight="1">
      <x:c r="A24" s="4" t="s">
        <x:v>142</x:v>
      </x:c>
      <x:c r="B24" s="6" t="s">
        <x:v>118</x:v>
      </x:c>
      <x:c r="C24" s="3" t="s">
        <x:v>143</x:v>
      </x:c>
      <x:c r="D24" s="3" t="s">
        <x:v>144</x:v>
      </x:c>
      <x:c r="E24" s="70" t="str">
        <x:v>已完成（代码）</x:v>
      </x:c>
      <x:c r="F24" s="3" t="s">
        <x:v>145</x:v>
      </x:c>
      <x:c r="G24" s="3" t="s">
        <x:v>146</x:v>
      </x:c>
      <x:c r="H24" s="3" t="s">
        <x:v>147</x:v>
      </x:c>
      <x:c r="I24" s="8" t="s">
        <x:v>8</x:v>
      </x:c>
      <x:c r="J24" s="42" t="str">
        <x:v>backend/internal/service/ops_monitoring_provider.go
deploy/prometheus.cluster.yml</x:v>
      </x:c>
      <x:c r="K24" s="43"/>
      <x:c r="L24" s="72" t="str">
        <x:v>本地通过</x:v>
      </x:c>
      <x:c r="M24" s="42" t="str">
        <x:v>Prometheus 兼容 Query API、固定指标、15s 抓取、认证/超时/降级、K8s 标准只读 Events。</x:v>
      </x:c>
      <x:c r="N24" s="42" t="str">
        <x:v>无已知待实现软件项；环境与交付边界见右侧。</x:v>
      </x:c>
      <x:c r="O24" s="42" t="str">
        <x:v>客户目标部署版本、真实业务流量和通知配置需现场签收；本地证据不代表生产已经部署。</x:v>
      </x:c>
      <x:c r="P24" s="42" t="str">
        <x:v>156条固定查询+5条watchdog解析及24个官方引擎语义场景；Prometheus实际抓取、停源Unknown/恢复Available。</x:v>
      </x:c>
    </x:row>
    <x:row r="25" ht="114" customHeight="1">
      <x:c r="A25" s="4" t="s">
        <x:v>148</x:v>
      </x:c>
      <x:c r="B25" s="6" t="s">
        <x:v>118</x:v>
      </x:c>
      <x:c r="C25" s="3" t="s">
        <x:v>149</x:v>
      </x:c>
      <x:c r="D25" s="3" t="s">
        <x:v>150</x:v>
      </x:c>
      <x:c r="E25" s="70" t="str">
        <x:v>已完成（代码）</x:v>
      </x:c>
      <x:c r="F25" s="3" t="s">
        <x:v>151</x:v>
      </x:c>
      <x:c r="G25" s="3" t="s">
        <x:v>152</x:v>
      </x:c>
      <x:c r="H25" s="3" t="s">
        <x:v>153</x:v>
      </x:c>
      <x:c r="I25" s="8" t="s">
        <x:v>8</x:v>
      </x:c>
      <x:c r="J25" s="42" t="str">
        <x:v>backend/internal/service/ops_monitoring_promql.go
deploy/tests/fixtures/monitoring-promql/</x:v>
      </x:c>
      <x:c r="K25" s="43"/>
      <x:c r="L25" s="72" t="str">
        <x:v>本地通过</x:v>
      </x:c>
      <x:c r="M25" s="42" t="str">
        <x:v>Gauge/Counter 分路、重复抓取去重、UID 时间对齐、限额加权；CrashLoop 原因序列消失时仅在新鲜身份与健康容器/采集证据齐全时补恢复零。</x:v>
      </x:c>
      <x:c r="N25" s="42" t="str">
        <x:v>无已知待实现软件项；环境与交付边界见右侧。</x:v>
      </x:c>
      <x:c r="O25" s="42" t="str">
        <x:v>客户目标部署版本、真实业务流量和通知配置需现场签收；本地证据不代表生产已经部署。</x:v>
      </x:c>
      <x:c r="P25" s="42" t="str">
        <x:v>官方引擎验证恢复零、失联不恢复、init状态不完整、UID替换、过期快照、HA去重及多cgroup。</x:v>
      </x:c>
    </x:row>
    <x:row r="26" ht="114" customHeight="1">
      <x:c r="A26" s="4" t="s">
        <x:v>154</x:v>
      </x:c>
      <x:c r="B26" s="6" t="s">
        <x:v>118</x:v>
      </x:c>
      <x:c r="C26" s="3" t="s">
        <x:v>155</x:v>
      </x:c>
      <x:c r="D26" s="3" t="s">
        <x:v>156</x:v>
      </x:c>
      <x:c r="E26" s="70" t="str">
        <x:v>已完成（代码）</x:v>
      </x:c>
      <x:c r="F26" s="3" t="s">
        <x:v>157</x:v>
      </x:c>
      <x:c r="G26" s="3" t="s">
        <x:v>158</x:v>
      </x:c>
      <x:c r="H26" s="3" t="s">
        <x:v>159</x:v>
      </x:c>
      <x:c r="I26" s="8" t="s">
        <x:v>11</x:v>
      </x:c>
      <x:c r="J26" s="42" t="str">
        <x:v>backend/internal/service/ops_monitoring_events.go
backend/internal/service/ops_monitoring_promql.go
frontend/src/views/admin/ops/components/OpsKubernetesEvents.vue</x:v>
      </x:c>
      <x:c r="K26" s="43"/>
      <x:c r="L26" s="72" t="str">
        <x:v>本地通过</x:v>
      </x:c>
      <x:c r="M26" s="42" t="str">
        <x:v>HPA 当前/目标/上限副本和 CPU/内存目标利用率；Deployment Ready/Available/Desired及资源汇总；Pod、Deployment、ReplicaSet、HPA 对象事件归档和筛选。</x:v>
      </x:c>
      <x:c r="N26" s="42" t="str">
        <x:v>无已知待实现软件项；环境与交付边界见右侧。</x:v>
      </x:c>
      <x:c r="O26" s="42" t="str">
        <x:v>托管集群/HPA指标可用性、节点不足和实际扩缩容策略现场验证。</x:v>
      </x:c>
      <x:c r="P26" s="42" t="str">
        <x:v>真实HPA目标50%、1→3副本、Deployment/HPA Events归档；通用API和单元/官方引擎回归。</x:v>
      </x:c>
    </x:row>
    <x:row r="27" ht="114" customHeight="1">
      <x:c r="A27" s="4" t="s">
        <x:v>160</x:v>
      </x:c>
      <x:c r="B27" s="6" t="s">
        <x:v>118</x:v>
      </x:c>
      <x:c r="C27" s="3" t="s">
        <x:v>161</x:v>
      </x:c>
      <x:c r="D27" s="3" t="s">
        <x:v>162</x:v>
      </x:c>
      <x:c r="E27" s="70" t="str">
        <x:v>已完成（代码）</x:v>
      </x:c>
      <x:c r="F27" s="3" t="s">
        <x:v>163</x:v>
      </x:c>
      <x:c r="G27" s="3" t="s">
        <x:v>164</x:v>
      </x:c>
      <x:c r="H27" s="3" t="s">
        <x:v>165</x:v>
      </x:c>
      <x:c r="I27" s="8" t="s">
        <x:v>14</x:v>
      </x:c>
      <x:c r="J27" s="42" t="str">
        <x:v>backend/internal/service/ops_database_capacity.go
backend/internal/pkg/dbpoolstats/
frontend/src/views/admin/ops/components/OpsDatabaseCapacity.vue</x:v>
      </x:c>
      <x:c r="K27" s="43"/>
      <x:c r="L27" s="72" t="str">
        <x:v>本地通过</x:v>
      </x:c>
      <x:c r="M27" s="42" t="str">
        <x:v>PG 只计算 client backend 连接槽；Redis Cluster 按节点采样并保留最繁忙节点比例；primary/advisory_lock/read_replica 三类应用池、等待 Counter、容量历史和独立告警。</x:v>
      </x:c>
      <x:c r="N27" s="42" t="str">
        <x:v>无已知待实现软件项；环境与交付边界见右侧。</x:v>
      </x:c>
      <x:c r="O27" s="42" t="str">
        <x:v>托管代理/云数据库连接预算口径及生产连接压力验收；不把多个Redis节点/不同数据库池预算相加为单实例上限。</x:v>
      </x:c>
      <x:c r="P27" s="42" t="str">
        <x:v>真实PG client=1/总activity=9/limit=100；多池注册与预算测试；Redis逐节点热点/失联实测见容量证据。</x:v>
      </x:c>
    </x:row>
    <x:row r="28" ht="114" customHeight="1">
      <x:c r="A28" s="4" t="s">
        <x:v>166</x:v>
      </x:c>
      <x:c r="B28" s="6" t="s">
        <x:v>118</x:v>
      </x:c>
      <x:c r="C28" s="3" t="s">
        <x:v>167</x:v>
      </x:c>
      <x:c r="D28" s="3" t="s">
        <x:v>168</x:v>
      </x:c>
      <x:c r="E28" s="70" t="str">
        <x:v>已完成（代码）</x:v>
      </x:c>
      <x:c r="F28" s="3" t="s">
        <x:v>169</x:v>
      </x:c>
      <x:c r="G28" s="3" t="s">
        <x:v>170</x:v>
      </x:c>
      <x:c r="H28" s="3" t="s">
        <x:v>171</x:v>
      </x:c>
      <x:c r="I28" s="8" t="s">
        <x:v>11</x:v>
      </x:c>
      <x:c r="J28" s="42" t="str">
        <x:v>deploy/monitoring/thanos-retention.compose.yml
deploy/monitoring/README.md
backend/internal/service/ops_monitoring_provider.go</x:v>
      </x:c>
      <x:c r="K28" s="43"/>
      <x:c r="L28" s="76" t="str">
        <x:v>部分通过</x:v>
      </x:c>
      <x:c r="M28" s="42" t="str">
        <x:v>完整 Prometheus/Thanos/对象存储栈、raw31d/5m90d/1h365d 可调策略、查询限额与自动分辨率；真实历史块上传/Store 查询和过期删除可复验。</x:v>
      </x:c>
      <x:c r="N28" s="42" t="str">
        <x:v>无已知待实现软件项；环境与交付边界见右侧。</x:v>
      </x:c>
      <x:c r="O28" s="42" t="str">
        <x:v>确认保留期、对象存储容量、备份和生产SLO；降采样不承诺必然更省磁盘，查询step不等同降采样。</x:v>
      </x:c>
      <x:c r="P28" s="42" t="str">
        <x:v>真实历史块上传与Store查询、40d/400d原始块删除保留5d；12d数据生成0/300000/3600000分辨率；部分30d原始查询未达本地2s参考目标，生产SLO未约定。</x:v>
      </x:c>
    </x:row>
    <x:row r="29" ht="114" customHeight="1">
      <x:c r="A29" s="4" t="s">
        <x:v>172</x:v>
      </x:c>
      <x:c r="B29" s="6" t="s">
        <x:v>118</x:v>
      </x:c>
      <x:c r="C29" s="3" t="s">
        <x:v>173</x:v>
      </x:c>
      <x:c r="D29" s="3" t="s">
        <x:v>174</x:v>
      </x:c>
      <x:c r="E29" s="70" t="str">
        <x:v>已完成（代码）</x:v>
      </x:c>
      <x:c r="F29" s="3" t="s">
        <x:v>175</x:v>
      </x:c>
      <x:c r="G29" s="3" t="s">
        <x:v>176</x:v>
      </x:c>
      <x:c r="H29" s="3" t="s">
        <x:v>177</x:v>
      </x:c>
      <x:c r="I29" s="8" t="s">
        <x:v>14</x:v>
      </x:c>
      <x:c r="J29" s="42" t="str">
        <x:v>backend/internal/service/ops_alert_resource_evaluator.go
backend/internal/service/ops_alert_delivery_service.go
backend/internal/repository/ops_repo_alert_deliveries.go
docs/CLUSTER_ALERT_SEMANTICS.md</x:v>
      </x:c>
      <x:c r="K29" s="43"/>
      <x:c r="L29" s="72" t="str">
        <x:v>本地通过</x:v>
      </x:c>
      <x:c r="M29" s="42" t="str">
        <x:v>规则版本/窗口/资源指纹、事故关联和唯一约束；并发幂等入队、最后一项恢复关闭事故，新一轮故障创建新事故。</x:v>
      </x:c>
      <x:c r="N29" s="42" t="str">
        <x:v>无已知待实现软件项；环境与交付边界见右侧。</x:v>
      </x:c>
      <x:c r="O29" s="42" t="str">
        <x:v>事故关联按资源生命周期及规则版本；接收方按幂等键去重。</x:v>
      </x:c>
      <x:c r="P29" s="42" t="str">
        <x:v>真实PostgreSQL并发领取、事故关联、最后关联恢复和下一轮事故；资源/版本隔离回归。</x:v>
      </x:c>
    </x:row>
    <x:row r="30" ht="114" customHeight="1">
      <x:c r="A30" s="4" t="s">
        <x:v>178</x:v>
      </x:c>
      <x:c r="B30" s="6" t="s">
        <x:v>118</x:v>
      </x:c>
      <x:c r="C30" s="3" t="s">
        <x:v>179</x:v>
      </x:c>
      <x:c r="D30" s="3" t="s">
        <x:v>180</x:v>
      </x:c>
      <x:c r="E30" s="70" t="str">
        <x:v>已完成（代码）</x:v>
      </x:c>
      <x:c r="F30" s="3" t="s">
        <x:v>181</x:v>
      </x:c>
      <x:c r="G30" s="3" t="s">
        <x:v>182</x:v>
      </x:c>
      <x:c r="H30" s="3" t="s">
        <x:v>183</x:v>
      </x:c>
      <x:c r="I30" s="8" t="s">
        <x:v>14</x:v>
      </x:c>
      <x:c r="J30" s="42" t="str">
        <x:v>backend/internal/service/ops_alert_resource_evaluator.go
backend/internal/service/ops_alert_delivery_service.go
backend/internal/repository/ops_repo_alert_deliveries.go
docs/CLUSTER_ALERT_SEMANTICS.md</x:v>
      </x:c>
      <x:c r="K30" s="43"/>
      <x:c r="L30" s="72" t="str">
        <x:v>本地通过</x:v>
      </x:c>
      <x:c r="M30" s="42" t="str">
        <x:v>静默期记录状态；到期且故障持续时补首次通知，持久唯一键防重复；升级/恢复状态与通知意图原子写入，CrashLoop 健康零可解除。</x:v>
      </x:c>
      <x:c r="N30" s="42" t="str">
        <x:v>无已知待实现软件项；环境与交付边界见右侧。</x:v>
      </x:c>
      <x:c r="O30" s="42" t="str">
        <x:v>客户目标部署版本、真实业务流量和通知配置需现场签收；本地证据不代表生产已经部署。</x:v>
      </x:c>
      <x:c r="P30" s="42" t="str">
        <x:v>静默到期补投、重复评估幂等、首次/升级/恢复实际状态测试；K8s故障/失联/恢复记录。</x:v>
      </x:c>
    </x:row>
    <x:row r="31" ht="114" customHeight="1">
      <x:c r="A31" s="4" t="s">
        <x:v>184</x:v>
      </x:c>
      <x:c r="B31" s="6" t="s">
        <x:v>118</x:v>
      </x:c>
      <x:c r="C31" s="3" t="s">
        <x:v>185</x:v>
      </x:c>
      <x:c r="D31" s="3" t="s">
        <x:v>186</x:v>
      </x:c>
      <x:c r="E31" s="70" t="str">
        <x:v>已完成（代码）</x:v>
      </x:c>
      <x:c r="F31" s="3" t="s">
        <x:v>187</x:v>
      </x:c>
      <x:c r="G31" s="3" t="s">
        <x:v>188</x:v>
      </x:c>
      <x:c r="H31" s="3" t="s">
        <x:v>189</x:v>
      </x:c>
      <x:c r="I31" s="8" t="s">
        <x:v>14</x:v>
      </x:c>
      <x:c r="J31" s="42" t="str">
        <x:v>backend/internal/service/notification_email_service.go
backend/internal/service/ops_alert_delivery_network_test.go</x:v>
      </x:c>
      <x:c r="K31" s="43"/>
      <x:c r="L31" s="72" t="str">
        <x:v>本地通过</x:v>
      </x:c>
      <x:c r="M31" s="42" t="str">
        <x:v>默认 zh-CN、显式 en-US、时区；保留自定义模板/收件人偏好及旧定时报表模板。</x:v>
      </x:c>
      <x:c r="N31" s="42" t="str">
        <x:v>无已知待实现软件项；环境与交付边界见右侧。</x:v>
      </x:c>
      <x:c r="O31" s="42" t="str">
        <x:v>客户SMTP域名、投递信誉和最终收件箱展示需现场验收。</x:v>
      </x:c>
      <x:c r="P31" s="42" t="str">
        <x:v>中文/英文模板与现有通知回归；真实本地SMTP收取中文firing/恢复标题及正文，无外部收件人。</x:v>
      </x:c>
    </x:row>
    <x:row r="32" ht="114" customHeight="1">
      <x:c r="A32" s="4" t="s">
        <x:v>190</x:v>
      </x:c>
      <x:c r="B32" s="6" t="s">
        <x:v>118</x:v>
      </x:c>
      <x:c r="C32" s="3" t="s">
        <x:v>191</x:v>
      </x:c>
      <x:c r="D32" s="3" t="s">
        <x:v>192</x:v>
      </x:c>
      <x:c r="E32" s="70" t="str">
        <x:v>已完成（代码）</x:v>
      </x:c>
      <x:c r="F32" s="3" t="s">
        <x:v>193</x:v>
      </x:c>
      <x:c r="G32" s="3" t="s">
        <x:v>194</x:v>
      </x:c>
      <x:c r="H32" s="3" t="s">
        <x:v>195</x:v>
      </x:c>
      <x:c r="I32" s="8" t="s">
        <x:v>14</x:v>
      </x:c>
      <x:c r="J32" s="42" t="str">
        <x:v>backend/internal/service/ops_alert_resource_evaluator.go
backend/internal/service/ops_alert_delivery_service.go
backend/internal/repository/ops_repo_alert_deliveries.go
docs/CLUSTER_ALERT_SEMANTICS.md</x:v>
      </x:c>
      <x:c r="K32" s="43"/>
      <x:c r="L32" s="72" t="str">
        <x:v>本地通过</x:v>
      </x:c>
      <x:c r="M32" s="42" t="str">
        <x:v>rule/resource、last evaluated、持续计数、event/incident/outbox 持久化；重复间隔不累加，规则修订隔离旧状态。缺采样期间不虚构持续故障时间。</x:v>
      </x:c>
      <x:c r="N32" s="42" t="str">
        <x:v>无已知待实现软件项；环境与交付边界见右侧。</x:v>
      </x:c>
      <x:c r="O32" s="42" t="str">
        <x:v>中断超过有效采样间隔会重置持续证据；恢复后不把无样本时段当作持续超阈。</x:v>
      </x:c>
      <x:c r="P32" s="42" t="str">
        <x:v>真实PG状态/原子性/重启恢复与重复间隔测试；缺采样不积累持续证据。</x:v>
      </x:c>
    </x:row>
    <x:row r="33" ht="114" customHeight="1">
      <x:c r="A33" s="4" t="s">
        <x:v>196</x:v>
      </x:c>
      <x:c r="B33" s="6" t="s">
        <x:v>118</x:v>
      </x:c>
      <x:c r="C33" s="3" t="s">
        <x:v>197</x:v>
      </x:c>
      <x:c r="D33" s="3" t="s">
        <x:v>198</x:v>
      </x:c>
      <x:c r="E33" s="70" t="str">
        <x:v>已完成（代码）</x:v>
      </x:c>
      <x:c r="F33" s="3" t="s">
        <x:v>199</x:v>
      </x:c>
      <x:c r="G33" s="3" t="s">
        <x:v>200</x:v>
      </x:c>
      <x:c r="H33" s="3" t="s">
        <x:v>201</x:v>
      </x:c>
      <x:c r="I33" s="8" t="s">
        <x:v>14</x:v>
      </x:c>
      <x:c r="J33" s="42" t="str">
        <x:v>backend/internal/service/ops_alert_resource_evaluator.go
backend/internal/service/ops_alert_delivery_service.go
backend/internal/repository/ops_repo_alert_deliveries.go
docs/CLUSTER_ALERT_SEMANTICS.md</x:v>
      </x:c>
      <x:c r="K33" s="43"/>
      <x:c r="L33" s="72" t="str">
        <x:v>本地通过</x:v>
      </x:c>
      <x:c r="M33" s="42" t="str">
        <x:v>独立投递 worker、多 URL/测试发送、HMAC、稳定幂等键、持久重试、HTTPS/DNS 固定与 SSRF 防护。</x:v>
      </x:c>
      <x:c r="N33" s="42" t="str">
        <x:v>无已知待实现软件项；环境与交付边界见右侧。</x:v>
      </x:c>
      <x:c r="O33" s="42" t="str">
        <x:v>客户公网Webhook证书、网络、HMAC与接收侧幂等签收；本地TLS测试只替换网络寻址，不放宽生产SSRF限制。</x:v>
      </x:c>
      <x:c r="P33" s="42" t="str">
        <x:v>真实本地TLS HTTP 429/500/200/超时，HMAC与稳定幂等键；公网地址/SSRF/DNS固定独立回归。</x:v>
      </x:c>
    </x:row>
    <x:row r="34" ht="114" customHeight="1">
      <x:c r="A34" s="4" t="s">
        <x:v>202</x:v>
      </x:c>
      <x:c r="B34" s="6" t="s">
        <x:v>118</x:v>
      </x:c>
      <x:c r="C34" s="3" t="s">
        <x:v>203</x:v>
      </x:c>
      <x:c r="D34" s="3" t="s">
        <x:v>204</x:v>
      </x:c>
      <x:c r="E34" s="70" t="str">
        <x:v>已完成（代码）</x:v>
      </x:c>
      <x:c r="F34" s="3" t="s">
        <x:v>205</x:v>
      </x:c>
      <x:c r="G34" s="3" t="s">
        <x:v>206</x:v>
      </x:c>
      <x:c r="H34" s="3" t="s">
        <x:v>207</x:v>
      </x:c>
      <x:c r="I34" s="8" t="s">
        <x:v>17</x:v>
      </x:c>
      <x:c r="J34" s="42" t="str">
        <x:v>backend/internal/server/routes/ops_monitoring_routes_test.go
backend/internal/service/ops_monitoring_provider.go
deploy/kubernetes/monitoring-events-rbac.yaml</x:v>
      </x:c>
      <x:c r="K34" s="43"/>
      <x:c r="L34" s="72" t="str">
        <x:v>本地通过</x:v>
      </x:c>
      <x:c r="M34" s="42" t="str">
        <x:v>新 API 继承 AdminAuth；固定 PromQL/标签白名单与查询上限；密钥配置、URL/DNS 防护、只读 Events Role。</x:v>
      </x:c>
      <x:c r="N34" s="42" t="str">
        <x:v>无已知待实现软件项；环境与交付边界见右侧。</x:v>
      </x:c>
      <x:c r="O34" s="42" t="str">
        <x:v>部署方Secret、namespace RBAC、网络策略与管理员限流配置现场复核；基础监控不依赖云API凭据。</x:v>
      </x:c>
      <x:c r="P34" s="42" t="str">
        <x:v>所有新增读写API实际AdminAuth 401/403回归；token、固定查询、SSRF/注入/只读RBAC和Compose安全脚本。</x:v>
      </x:c>
    </x:row>
    <x:row r="35" ht="114" customHeight="1">
      <x:c r="A35" s="4" t="s">
        <x:v>208</x:v>
      </x:c>
      <x:c r="B35" s="7" t="s">
        <x:v>209</x:v>
      </x:c>
      <x:c r="C35" s="3" t="s">
        <x:v>210</x:v>
      </x:c>
      <x:c r="D35" s="3" t="s">
        <x:v>211</x:v>
      </x:c>
      <x:c r="E35" s="70" t="str">
        <x:v>已完成（代码）</x:v>
      </x:c>
      <x:c r="F35" s="3" t="s">
        <x:v>212</x:v>
      </x:c>
      <x:c r="G35" s="3" t="s">
        <x:v>213</x:v>
      </x:c>
      <x:c r="H35" s="3" t="s">
        <x:v>214</x:v>
      </x:c>
      <x:c r="I35" s="8" t="s">
        <x:v>14</x:v>
      </x:c>
      <x:c r="J35" s="42" t="str">
        <x:v>backend/internal/service/ops_alert_resource_evaluator.go
backend/internal/service/ops_alert_delivery_service.go
backend/internal/repository/ops_repo_alert_deliveries.go
docs/CLUSTER_ALERT_SEMANTICS.md</x:v>
      </x:c>
      <x:c r="K35" s="43"/>
      <x:c r="L35" s="72" t="str">
        <x:v>本地通过</x:v>
      </x:c>
      <x:c r="M35" s="42" t="str">
        <x:v>Pod 与 Deployment CPU/内存/重启/OOM 的独立指标与告警，完整有效 Limit、UID隔离、资源静默和恢复状态。</x:v>
      </x:c>
      <x:c r="N35" s="42" t="str">
        <x:v>无已知待实现软件项；环境与交付边界见右侧。</x:v>
      </x:c>
      <x:c r="O35" s="42" t="str">
        <x:v>客户目标部署版本、真实业务流量和通知配置需现场签收；本地证据不代表生产已经部署。</x:v>
      </x:c>
      <x:c r="P35" s="42" t="str">
        <x:v>资源Limit、静默、Deployment聚合、UID、OOM窗口和CrashLoop恢复回归；实际K8s资源规则。</x:v>
      </x:c>
    </x:row>
    <x:row r="36" ht="114" customHeight="1">
      <x:c r="A36" s="4" t="s">
        <x:v>215</x:v>
      </x:c>
      <x:c r="B36" s="7" t="s">
        <x:v>209</x:v>
      </x:c>
      <x:c r="C36" s="3" t="s">
        <x:v>216</x:v>
      </x:c>
      <x:c r="D36" s="3" t="s">
        <x:v>217</x:v>
      </x:c>
      <x:c r="E36" s="70" t="str">
        <x:v>已完成（代码）</x:v>
      </x:c>
      <x:c r="F36" s="3" t="s">
        <x:v>218</x:v>
      </x:c>
      <x:c r="G36" s="3" t="s">
        <x:v>219</x:v>
      </x:c>
      <x:c r="H36" s="3" t="s">
        <x:v>220</x:v>
      </x:c>
      <x:c r="I36" s="8" t="s">
        <x:v>14</x:v>
      </x:c>
      <x:c r="J36" s="42" t="str">
        <x:v>backend/internal/service/ops_alert_resource_evaluator.go
backend/internal/service/ops_alert_delivery_service.go
backend/internal/repository/ops_repo_alert_deliveries.go
docs/CLUSTER_ALERT_SEMANTICS.md</x:v>
      </x:c>
      <x:c r="K36" s="43"/>
      <x:c r="L36" s="72" t="str">
        <x:v>本地通过</x:v>
      </x:c>
      <x:c r="M36" s="42" t="str">
        <x:v>4xx/5xx 分类、429 排除、错误数量/率与请求门槛；应用/入口拒绝/外部入口来源分开，支持的协议/路由/状态筛选进入实际查询。</x:v>
      </x:c>
      <x:c r="N36" s="42" t="str">
        <x:v>无已知待实现软件项；环境与交付边界见右侧。</x:v>
      </x:c>
      <x:c r="O36" s="42" t="str">
        <x:v>客户目标部署版本、真实业务流量和通知配置需现场签收；本地证据不代表生产已经部署。</x:v>
      </x:c>
      <x:c r="P36" s="42" t="str">
        <x:v>来源/错误率/错误数/最低样本组合与查询维度回归；真实401错误与外部adapter官方引擎对账。</x:v>
      </x:c>
    </x:row>
    <x:row r="37" ht="114" customHeight="1">
      <x:c r="A37" s="4" t="s">
        <x:v>221</x:v>
      </x:c>
      <x:c r="B37" s="7" t="s">
        <x:v>209</x:v>
      </x:c>
      <x:c r="C37" s="3" t="s">
        <x:v>222</x:v>
      </x:c>
      <x:c r="D37" s="3" t="s">
        <x:v>223</x:v>
      </x:c>
      <x:c r="E37" s="70" t="str">
        <x:v>已完成（代码）</x:v>
      </x:c>
      <x:c r="F37" s="3" t="s">
        <x:v>224</x:v>
      </x:c>
      <x:c r="G37" s="3" t="s">
        <x:v>225</x:v>
      </x:c>
      <x:c r="H37" s="3" t="s">
        <x:v>226</x:v>
      </x:c>
      <x:c r="I37" s="8" t="s">
        <x:v>14</x:v>
      </x:c>
      <x:c r="J37" s="42" t="str">
        <x:v>backend/internal/service/ops_alert_resource_evaluator.go
backend/internal/service/ops_alert_delivery_service.go
backend/internal/repository/ops_repo_alert_deliveries.go
docs/CLUSTER_ALERT_SEMANTICS.md</x:v>
      </x:c>
      <x:c r="K37" s="43"/>
      <x:c r="L37" s="72" t="str">
        <x:v>本地通过</x:v>
      </x:c>
      <x:c r="M37" s="42" t="str">
        <x:v>持久投递任务、租约领取、退避、失败终态、人工重试与尝试历史。</x:v>
      </x:c>
      <x:c r="N37" s="42" t="str">
        <x:v>无已知待实现软件项；环境与交付边界见右侧。</x:v>
      </x:c>
      <x:c r="O37" s="42" t="str">
        <x:v>至少一次投递：远端成功但本地确认前退出可能重复，SMTP不承诺exactly-once。</x:v>
      </x:c>
      <x:c r="P37" s="42" t="str">
        <x:v>真实PG outbox租约、退避/失败/重试记录；真实SMTP不可达后恢复投递与中文消息接收。</x:v>
      </x:c>
    </x:row>
  </x:sheetData>
  <x:mergeCells>
    <x:mergeCell ref="A1:L2"/>
    <x:mergeCell ref="A3:L3"/>
    <x:mergeCell ref="A4:L4"/>
  </x:mergeCells>
  <x:conditionalFormatting sqref="E6:E37">
    <x:cfRule type="cellIs" dxfId="0" priority="1" operator="equal">
      <x:formula>"已完成（代码）"</x:formula>
    </x:cfRule>
    <x:cfRule type="cellIs" dxfId="1" priority="2" operator="equal">
      <x:formula>"部分完成"</x:formula>
    </x:cfRule>
    <x:cfRule type="cellIs" dxfId="2" priority="3" operator="equal">
      <x:formula>"未完成"</x:formula>
    </x:cfRule>
    <x:cfRule type="cellIs" dxfId="3" priority="4" operator="equal">
      <x:formula>"待确认"</x:formula>
    </x:cfRule>
  </x:conditionalFormatting>
  <x:dataValidations count="2">
    <x:dataValidation type="list" sqref="L6:L37">
      <x:formula1>"本地通过,部分通过,未验证"</x:formula1>
    </x:dataValidation>
    <x:dataValidation type="list" sqref="E6:E37">
      <x:formula1>"已完成（代码）,部分完成,未完成,待确认"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baaa7223b2c478d"/>
  </x:tableParts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4.25"/>
  <x:cols>
    <x:col min="1" max="1" width="22" customWidth="1"/>
    <x:col min="2" max="3" width="75" customWidth="1"/>
    <x:col min="4" max="4" width="55" customWidth="1"/>
  </x:cols>
  <x:sheetData>
    <x:row r="1" ht="24.950000762939453" customHeight="1">
      <x:c r="A1" s="34" t="s">
        <x:v>227</x:v>
      </x:c>
      <x:c r="B1" s="34"/>
      <x:c r="C1" s="34"/>
      <x:c r="D1" s="34"/>
    </x:row>
    <x:row r="2" ht="24.950000762939453" customHeight="1">
      <x:c r="A2" s="34"/>
      <x:c r="B2" s="34"/>
      <x:c r="C2" s="34"/>
      <x:c r="D2" s="34"/>
    </x:row>
    <x:row r="4" ht="27.950000762939453" customHeight="1">
      <x:c r="A4" s="1" t="s">
        <x:v>228</x:v>
      </x:c>
      <x:c r="B4" s="1" t="s">
        <x:v>229</x:v>
      </x:c>
      <x:c r="C4" s="1" t="s">
        <x:v>230</x:v>
      </x:c>
      <x:c r="D4" s="1" t="s">
        <x:v>231</x:v>
      </x:c>
    </x:row>
    <x:row r="5" ht="66" customHeight="1">
      <x:c r="A5" s="17" t="s">
        <x:v>232</x:v>
      </x:c>
      <x:c r="B5" s="17" t="s">
        <x:v>233</x:v>
      </x:c>
      <x:c r="C5" s="17" t="s">
        <x:v>234</x:v>
      </x:c>
      <x:c r="D5" s="17" t="s">
        <x:v>235</x:v>
      </x:c>
    </x:row>
    <x:row r="6" ht="66" customHeight="1">
      <x:c r="A6" s="17" t="s">
        <x:v>236</x:v>
      </x:c>
      <x:c r="B6" s="17" t="s">
        <x:v>237</x:v>
      </x:c>
      <x:c r="C6" s="17" t="s">
        <x:v>238</x:v>
      </x:c>
      <x:c r="D6" s="17" t="s">
        <x:v>239</x:v>
      </x:c>
    </x:row>
    <x:row r="7" ht="66" customHeight="1">
      <x:c r="A7" s="17" t="s">
        <x:v>240</x:v>
      </x:c>
      <x:c r="B7" s="17" t="s">
        <x:v>241</x:v>
      </x:c>
      <x:c r="C7" s="17" t="s">
        <x:v>242</x:v>
      </x:c>
      <x:c r="D7" s="17" t="s">
        <x:v>243</x:v>
      </x:c>
    </x:row>
    <x:row r="8" ht="66" customHeight="1">
      <x:c r="A8" s="17" t="s">
        <x:v>244</x:v>
      </x:c>
      <x:c r="B8" s="17" t="s">
        <x:v>245</x:v>
      </x:c>
      <x:c r="C8" s="17" t="s">
        <x:v>246</x:v>
      </x:c>
      <x:c r="D8" s="17" t="s">
        <x:v>247</x:v>
      </x:c>
    </x:row>
    <x:row r="9" ht="66" customHeight="1">
      <x:c r="A9" s="17" t="s">
        <x:v>248</x:v>
      </x:c>
      <x:c r="B9" s="17" t="s">
        <x:v>249</x:v>
      </x:c>
      <x:c r="C9" s="17" t="s">
        <x:v>250</x:v>
      </x:c>
      <x:c r="D9" s="17" t="s">
        <x:v>251</x:v>
      </x:c>
    </x:row>
    <x:row r="10" ht="66" customHeight="1">
      <x:c r="A10" s="17" t="s">
        <x:v>252</x:v>
      </x:c>
      <x:c r="B10" s="17" t="s">
        <x:v>253</x:v>
      </x:c>
      <x:c r="C10" s="17" t="s">
        <x:v>254</x:v>
      </x:c>
      <x:c r="D10" s="17" t="s">
        <x:v>255</x:v>
      </x:c>
    </x:row>
    <x:row r="11" ht="66" customHeight="1">
      <x:c r="A11" s="17" t="s">
        <x:v>256</x:v>
      </x:c>
      <x:c r="B11" s="17" t="s">
        <x:v>257</x:v>
      </x:c>
      <x:c r="C11" s="17" t="s">
        <x:v>258</x:v>
      </x:c>
      <x:c r="D11" s="17" t="s">
        <x:v>259</x:v>
      </x:c>
    </x:row>
    <x:row r="12" ht="66" customHeight="1">
      <x:c r="A12" s="17" t="s">
        <x:v>260</x:v>
      </x:c>
      <x:c r="B12" s="17" t="s">
        <x:v>261</x:v>
      </x:c>
      <x:c r="C12" s="17" t="s">
        <x:v>262</x:v>
      </x:c>
      <x:c r="D12" s="17" t="s">
        <x:v>263</x:v>
      </x:c>
    </x:row>
    <x:row r="13" ht="66" customHeight="1">
      <x:c r="A13" s="17" t="s">
        <x:v>264</x:v>
      </x:c>
      <x:c r="B13" s="17" t="s">
        <x:v>265</x:v>
      </x:c>
      <x:c r="C13" s="17" t="s">
        <x:v>266</x:v>
      </x:c>
      <x:c r="D13" s="17" t="s">
        <x:v>267</x:v>
      </x:c>
    </x:row>
    <x:row r="14" ht="66" customHeight="1">
      <x:c r="A14" s="17" t="s">
        <x:v>268</x:v>
      </x:c>
      <x:c r="B14" s="17" t="s">
        <x:v>269</x:v>
      </x:c>
      <x:c r="C14" s="17" t="s">
        <x:v>270</x:v>
      </x:c>
      <x:c r="D14" s="17" t="s">
        <x:v>271</x:v>
      </x:c>
    </x:row>
    <x:row r="15" ht="66" customHeight="1">
      <x:c r="A15" s="17" t="s">
        <x:v>272</x:v>
      </x:c>
      <x:c r="B15" s="17" t="s">
        <x:v>273</x:v>
      </x:c>
      <x:c r="C15" s="17" t="s">
        <x:v>274</x:v>
      </x:c>
      <x:c r="D15" s="17" t="s">
        <x:v>275</x:v>
      </x:c>
    </x:row>
    <x:row r="16" ht="66" customHeight="1">
      <x:c r="A16" s="17" t="s">
        <x:v>276</x:v>
      </x:c>
      <x:c r="B16" s="17" t="s">
        <x:v>277</x:v>
      </x:c>
      <x:c r="C16" s="17" t="s">
        <x:v>278</x:v>
      </x:c>
      <x:c r="D16" s="17" t="s">
        <x:v>279</x:v>
      </x:c>
    </x:row>
  </x:sheetData>
  <x:mergeCells>
    <x:mergeCell ref="A1:D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4.25"/>
  <x:cols>
    <x:col min="1" max="1" width="20" customWidth="1"/>
    <x:col min="2" max="2" width="14" customWidth="1"/>
    <x:col min="3" max="3" width="35" customWidth="1"/>
    <x:col min="4" max="4" width="43" customWidth="1"/>
    <x:col min="5" max="5" width="35" customWidth="1"/>
    <x:col min="6" max="6" width="27" customWidth="1"/>
    <x:col min="7" max="7" width="17" customWidth="1"/>
    <x:col min="8" max="8" width="44" customWidth="1"/>
  </x:cols>
  <x:sheetData>
    <x:row r="1" ht="33.95000076293945" customHeight="1">
      <x:c r="A1" s="35" t="s">
        <x:v>280</x:v>
      </x:c>
      <x:c r="B1" s="35"/>
      <x:c r="C1" s="35"/>
      <x:c r="D1" s="35"/>
      <x:c r="E1" s="35"/>
      <x:c r="F1" s="35"/>
      <x:c r="G1" s="35"/>
      <x:c r="H1" s="35"/>
    </x:row>
    <x:row r="3" ht="33.95000076293945" customHeight="1">
      <x:c r="A3" s="36" t="s">
        <x:v>281</x:v>
      </x:c>
      <x:c r="B3" s="36"/>
      <x:c r="C3" s="36"/>
      <x:c r="D3" s="36"/>
      <x:c r="E3" s="36"/>
      <x:c r="F3" s="36"/>
      <x:c r="G3" s="36"/>
      <x:c r="H3" s="36"/>
    </x:row>
    <x:row r="5" ht="27.950000762939453" customHeight="1">
      <x:c r="A5" s="18" t="s">
        <x:v>282</x:v>
      </x:c>
      <x:c r="B5" s="18" t="s">
        <x:v>283</x:v>
      </x:c>
      <x:c r="C5" s="18" t="s">
        <x:v>284</x:v>
      </x:c>
      <x:c r="D5" s="18" t="s">
        <x:v>285</x:v>
      </x:c>
      <x:c r="E5" s="18" t="s">
        <x:v>286</x:v>
      </x:c>
      <x:c r="F5" s="18" t="s">
        <x:v>287</x:v>
      </x:c>
      <x:c r="G5" s="18" t="str">
        <x:v>本地 / 现场验证状态</x:v>
      </x:c>
      <x:c r="H5" s="18" t="s">
        <x:v>288</x:v>
      </x:c>
    </x:row>
    <x:row r="6" ht="100" customHeight="1">
      <x:c r="A6" s="21" t="s">
        <x:v>289</x:v>
      </x:c>
      <x:c r="B6" s="19" t="s">
        <x:v>290</x:v>
      </x:c>
      <x:c r="C6" s="19" t="s">
        <x:v>291</x:v>
      </x:c>
      <x:c r="D6" s="19" t="s">
        <x:v>292</x:v>
      </x:c>
      <x:c r="E6" s="19" t="s">
        <x:v>293</x:v>
      </x:c>
      <x:c r="F6" s="19" t="s">
        <x:v>294</x:v>
      </x:c>
      <x:c r="G6" s="78" t="str">
        <x:v>本地通过</x:v>
      </x:c>
      <x:c r="H6" s="19" t="str">
        <x:v>完整嵌入式Vue+Canvas及当前Go代码在隔离Compose运行；指标、鉴权、PG/Redis、故障与重启通过。客户正式发布镜像及灰度/回滚另行验收。</x:v>
      </x:c>
    </x:row>
    <x:row r="7" ht="100" customHeight="1">
      <x:c r="A7" s="22" t="s">
        <x:v>295</x:v>
      </x:c>
      <x:c r="B7" s="20" t="s">
        <x:v>290</x:v>
      </x:c>
      <x:c r="C7" s="20" t="s">
        <x:v>296</x:v>
      </x:c>
      <x:c r="D7" s="20" t="s">
        <x:v>297</x:v>
      </x:c>
      <x:c r="E7" s="20" t="s">
        <x:v>293</x:v>
      </x:c>
      <x:c r="F7" s="20" t="s">
        <x:v>298</x:v>
      </x:c>
      <x:c r="G7" s="80" t="str">
        <x:v>部分通过</x:v>
      </x:c>
      <x:c r="H7" s="20" t="str">
        <x:v>已验证Linux arm64容器进程；无Docker普通Linux独立主机的服务管理、安装升级与回滚仍需现场验收。</x:v>
      </x:c>
    </x:row>
    <x:row r="8" ht="100" customHeight="1">
      <x:c r="A8" s="21" t="s">
        <x:v>299</x:v>
      </x:c>
      <x:c r="B8" s="19" t="s">
        <x:v>300</x:v>
      </x:c>
      <x:c r="C8" s="19" t="s">
        <x:v>301</x:v>
      </x:c>
      <x:c r="D8" s="19" t="s">
        <x:v>302</x:v>
      </x:c>
      <x:c r="E8" s="19" t="s">
        <x:v>303</x:v>
      </x:c>
      <x:c r="F8" s="19" t="s">
        <x:v>304</x:v>
      </x:c>
      <x:c r="G8" s="82" t="str">
        <x:v>未实测</x:v>
      </x:c>
      <x:c r="H8" s="19" t="str">
        <x:v>尚未提供客户环境与凭据，未作该云平台实测；基础能力不依赖厂商API。不得将 ACK API 作为基础监控硬依赖</x:v>
      </x:c>
    </x:row>
    <x:row r="9" ht="100" customHeight="1">
      <x:c r="A9" s="22" t="s">
        <x:v>305</x:v>
      </x:c>
      <x:c r="B9" s="20" t="s">
        <x:v>300</x:v>
      </x:c>
      <x:c r="C9" s="20" t="s">
        <x:v>306</x:v>
      </x:c>
      <x:c r="D9" s="20" t="s">
        <x:v>302</x:v>
      </x:c>
      <x:c r="E9" s="20" t="s">
        <x:v>307</x:v>
      </x:c>
      <x:c r="F9" s="20" t="s">
        <x:v>308</x:v>
      </x:c>
      <x:c r="G9" s="82" t="str">
        <x:v>未实测</x:v>
      </x:c>
      <x:c r="H9" s="20" t="str">
        <x:v>尚未提供客户环境与凭据，未作该云平台实测；基础能力不依赖厂商API。不得绑定阿里云云监控或日志服务</x:v>
      </x:c>
    </x:row>
    <x:row r="10" ht="100" customHeight="1">
      <x:c r="A10" s="21" t="s">
        <x:v>309</x:v>
      </x:c>
      <x:c r="B10" s="19" t="s">
        <x:v>300</x:v>
      </x:c>
      <x:c r="C10" s="19" t="s">
        <x:v>306</x:v>
      </x:c>
      <x:c r="D10" s="19" t="s">
        <x:v>302</x:v>
      </x:c>
      <x:c r="E10" s="19" t="s">
        <x:v>310</x:v>
      </x:c>
      <x:c r="F10" s="19" t="s">
        <x:v>308</x:v>
      </x:c>
      <x:c r="G10" s="82" t="str">
        <x:v>未实测</x:v>
      </x:c>
      <x:c r="H10" s="19" t="str">
        <x:v>尚未提供客户环境与凭据，未作该云平台实测；基础能力不依赖厂商API。不要求 CloudWatch 才能显示基本业务指标</x:v>
      </x:c>
    </x:row>
    <x:row r="11" ht="100" customHeight="1">
      <x:c r="A11" s="22" t="s">
        <x:v>311</x:v>
      </x:c>
      <x:c r="B11" s="20" t="s">
        <x:v>300</x:v>
      </x:c>
      <x:c r="C11" s="20" t="s">
        <x:v>306</x:v>
      </x:c>
      <x:c r="D11" s="20" t="s">
        <x:v>302</x:v>
      </x:c>
      <x:c r="E11" s="20" t="s">
        <x:v>312</x:v>
      </x:c>
      <x:c r="F11" s="20" t="s">
        <x:v>308</x:v>
      </x:c>
      <x:c r="G11" s="82" t="str">
        <x:v>未实测</x:v>
      </x:c>
      <x:c r="H11" s="20" t="str">
        <x:v>尚未提供客户环境与凭据，未作该云平台实测；基础能力不依赖厂商API。标准 Prometheus 抓取 / Query API 应正常工作</x:v>
      </x:c>
    </x:row>
    <x:row r="12" ht="100" customHeight="1">
      <x:c r="A12" s="21" t="s">
        <x:v>313</x:v>
      </x:c>
      <x:c r="B12" s="19" t="s">
        <x:v>300</x:v>
      </x:c>
      <x:c r="C12" s="19" t="s">
        <x:v>306</x:v>
      </x:c>
      <x:c r="D12" s="19" t="s">
        <x:v>302</x:v>
      </x:c>
      <x:c r="E12" s="19" t="s">
        <x:v>314</x:v>
      </x:c>
      <x:c r="F12" s="19" t="s">
        <x:v>308</x:v>
      </x:c>
      <x:c r="G12" s="82" t="str">
        <x:v>未实测</x:v>
      </x:c>
      <x:c r="H12" s="19" t="str">
        <x:v>尚未提供客户环境与凭据，未作该云平台实测；基础能力不依赖厂商API。Cloud API 无凭据时仍支持基本监控</x:v>
      </x:c>
    </x:row>
    <x:row r="13" ht="100" customHeight="1">
      <x:c r="A13" s="22" t="str">
        <x:v>自建 Kubernetes
(k3s / kind)</x:v>
      </x:c>
      <x:c r="B13" s="20" t="s">
        <x:v>300</x:v>
      </x:c>
      <x:c r="C13" s="20" t="s">
        <x:v>306</x:v>
      </x:c>
      <x:c r="D13" s="20" t="s">
        <x:v>302</x:v>
      </x:c>
      <x:c r="E13" s="20" t="s">
        <x:v>315</x:v>
      </x:c>
      <x:c r="F13" s="20" t="s">
        <x:v>316</x:v>
      </x:c>
      <x:c r="G13" s="80" t="str">
        <x:v>部分通过</x:v>
      </x:c>
      <x:c r="H13" s="20" t="str">
        <x:v>独立k3s 1.35.5与kind 1.35.8实测：有效Limit、1→3副本、90请求守恒、UID隔离、Events与CrashLoop触发/失联保持/恢复解除均通过。两套环境均独立部署；OOM Counter限制另列。不能据此声明ACK/TKE/EKS等托管平台已经验收。</x:v>
      </x:c>
    </x:row>
    <x:row r="15" ht="27" customHeight="1">
      <x:c r="A15" s="37" t="s">
        <x:v>317</x:v>
      </x:c>
      <x:c r="B15" s="37"/>
      <x:c r="C15" s="37"/>
      <x:c r="D15" s="37"/>
      <x:c r="E15" s="37"/>
      <x:c r="F15" s="37"/>
      <x:c r="G15" s="37"/>
      <x:c r="H15" s="37"/>
    </x:row>
    <x:row r="16" ht="30" customHeight="1">
      <x:c r="A16" s="38" t="s">
        <x:v>318</x:v>
      </x:c>
      <x:c r="B16" s="38"/>
      <x:c r="C16" s="38"/>
      <x:c r="D16" s="38"/>
      <x:c r="E16" s="38"/>
      <x:c r="F16" s="38"/>
      <x:c r="G16" s="38"/>
      <x:c r="H16" s="38"/>
    </x:row>
    <x:row r="17" ht="30" customHeight="1">
      <x:c r="A17" s="38" t="s">
        <x:v>319</x:v>
      </x:c>
      <x:c r="B17" s="38"/>
      <x:c r="C17" s="38"/>
      <x:c r="D17" s="38"/>
      <x:c r="E17" s="38"/>
      <x:c r="F17" s="38"/>
      <x:c r="G17" s="38"/>
      <x:c r="H17" s="38"/>
    </x:row>
    <x:row r="18" ht="30" customHeight="1">
      <x:c r="A18" s="38" t="s">
        <x:v>320</x:v>
      </x:c>
      <x:c r="B18" s="38"/>
      <x:c r="C18" s="38"/>
      <x:c r="D18" s="38"/>
      <x:c r="E18" s="38"/>
      <x:c r="F18" s="38"/>
      <x:c r="G18" s="38"/>
      <x:c r="H18" s="38"/>
    </x:row>
    <x:row r="19" ht="30" customHeight="1">
      <x:c r="A19" s="38" t="s">
        <x:v>321</x:v>
      </x:c>
      <x:c r="B19" s="38"/>
      <x:c r="C19" s="38"/>
      <x:c r="D19" s="38"/>
      <x:c r="E19" s="38"/>
      <x:c r="F19" s="38"/>
      <x:c r="G19" s="38"/>
      <x:c r="H19" s="38"/>
    </x:row>
    <x:row r="20" ht="30" customHeight="1">
      <x:c r="A20" s="38" t="s">
        <x:v>322</x:v>
      </x:c>
      <x:c r="B20" s="38"/>
      <x:c r="C20" s="38"/>
      <x:c r="D20" s="38"/>
      <x:c r="E20" s="38"/>
      <x:c r="F20" s="38"/>
      <x:c r="G20" s="38"/>
      <x:c r="H20" s="38"/>
    </x:row>
    <x:row r="21" ht="30" customHeight="1">
      <x:c r="A21" s="38" t="s">
        <x:v>323</x:v>
      </x:c>
      <x:c r="B21" s="38"/>
      <x:c r="C21" s="38"/>
      <x:c r="D21" s="38"/>
      <x:c r="E21" s="38"/>
      <x:c r="F21" s="38"/>
      <x:c r="G21" s="38"/>
      <x:c r="H21" s="38"/>
    </x:row>
    <x:row r="22" ht="30" customHeight="1">
      <x:c r="A22" s="38" t="s">
        <x:v>324</x:v>
      </x:c>
      <x:c r="B22" s="38"/>
      <x:c r="C22" s="38"/>
      <x:c r="D22" s="38"/>
      <x:c r="E22" s="38"/>
      <x:c r="F22" s="38"/>
      <x:c r="G22" s="38"/>
      <x:c r="H22" s="38"/>
    </x:row>
  </x:sheetData>
  <x:mergeCells>
    <x:mergeCell ref="A18:H18"/>
    <x:mergeCell ref="A19:H19"/>
    <x:mergeCell ref="A20:H20"/>
    <x:mergeCell ref="A21:H21"/>
    <x:mergeCell ref="A22:H22"/>
    <x:mergeCell ref="A1:H1"/>
    <x:mergeCell ref="A3:H3"/>
    <x:mergeCell ref="A15:H15"/>
    <x:mergeCell ref="A16:H16"/>
    <x:mergeCell ref="A17:H17"/>
  </x:mergeCells>
  <x:dataValidations count="1">
    <x:dataValidation type="list" sqref="G6:G13">
      <x:formula1>"本地通过,部分通过,未实测"</x:formula1>
    </x:dataValidation>
  </x:dataValidations>
  <x:pageMargins left="0.7" right="0.7" top="0.75" bottom="0.75" header="0.3" footer="0.3"/>
</x:worksheet>
</file>